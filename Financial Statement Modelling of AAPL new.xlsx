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95D68A9-C524-4EE2-A4EB-46688C9B2BA4}" xr6:coauthVersionLast="47" xr6:coauthVersionMax="47" xr10:uidLastSave="{00000000-0000-0000-0000-000000000000}"/>
  <bookViews>
    <workbookView xWindow="-120" yWindow="-120" windowWidth="29040" windowHeight="15840" xr2:uid="{1AE03393-E815-40FF-A8CA-AA5F2083F5BD}"/>
  </bookViews>
  <sheets>
    <sheet name="Sheet1" sheetId="1" r:id="rId1"/>
    <sheet name="Rev Build" sheetId="3" r:id="rId2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51" i="1" l="1"/>
  <c r="G152" i="1"/>
  <c r="R24" i="1"/>
  <c r="T40" i="1"/>
  <c r="T39" i="1"/>
  <c r="T37" i="1"/>
  <c r="P146" i="1"/>
  <c r="H63" i="1" l="1"/>
  <c r="I63" i="1" s="1"/>
  <c r="J63" i="1" s="1"/>
  <c r="K63" i="1" s="1"/>
  <c r="G63" i="1"/>
  <c r="H57" i="1"/>
  <c r="I57" i="1"/>
  <c r="J57" i="1"/>
  <c r="K57" i="1"/>
  <c r="G57" i="1"/>
  <c r="D149" i="1"/>
  <c r="E146" i="1"/>
  <c r="F146" i="1"/>
  <c r="E147" i="1"/>
  <c r="F147" i="1"/>
  <c r="F126" i="1"/>
  <c r="F123" i="1"/>
  <c r="F75" i="1"/>
  <c r="F121" i="1"/>
  <c r="F122" i="1" s="1"/>
  <c r="E293" i="1"/>
  <c r="F293" i="1"/>
  <c r="D293" i="1"/>
  <c r="F111" i="1"/>
  <c r="G109" i="1" s="1"/>
  <c r="E111" i="1"/>
  <c r="F99" i="1"/>
  <c r="E99" i="1"/>
  <c r="F22" i="3"/>
  <c r="F124" i="1" l="1"/>
  <c r="F127" i="1" s="1"/>
  <c r="F118" i="1"/>
  <c r="F101" i="1"/>
  <c r="F106" i="1" s="1"/>
  <c r="G97" i="1"/>
  <c r="F41" i="3" l="1"/>
  <c r="E41" i="3"/>
  <c r="E40" i="3"/>
  <c r="F40" i="3"/>
  <c r="F39" i="3"/>
  <c r="E39" i="3"/>
  <c r="F38" i="3"/>
  <c r="E38" i="3"/>
  <c r="E37" i="3"/>
  <c r="F37" i="3"/>
  <c r="F34" i="3"/>
  <c r="E34" i="3"/>
  <c r="F33" i="3"/>
  <c r="E33" i="3"/>
  <c r="F32" i="3"/>
  <c r="E32" i="3"/>
  <c r="F29" i="3"/>
  <c r="E29" i="3"/>
  <c r="F28" i="3"/>
  <c r="E28" i="3"/>
  <c r="E27" i="3"/>
  <c r="F27" i="3"/>
  <c r="F24" i="3"/>
  <c r="E24" i="3"/>
  <c r="D24" i="3"/>
  <c r="F23" i="3"/>
  <c r="E23" i="3"/>
  <c r="D23" i="3"/>
  <c r="E22" i="3"/>
  <c r="D22" i="3"/>
  <c r="F14" i="3"/>
  <c r="E14" i="3"/>
  <c r="E13" i="3"/>
  <c r="F13" i="3"/>
  <c r="D13" i="3"/>
  <c r="D4" i="3"/>
  <c r="E4" i="3"/>
  <c r="H4" i="3"/>
  <c r="I4" i="3" s="1"/>
  <c r="J4" i="3" s="1"/>
  <c r="K4" i="3" s="1"/>
  <c r="G4" i="3"/>
  <c r="F3" i="3"/>
  <c r="G3" i="3"/>
  <c r="H3" i="3" s="1"/>
  <c r="I3" i="3" s="1"/>
  <c r="J3" i="3" s="1"/>
  <c r="K3" i="3" s="1"/>
  <c r="E3" i="3"/>
  <c r="H272" i="1"/>
  <c r="I272" i="1" s="1"/>
  <c r="J272" i="1" s="1"/>
  <c r="K272" i="1" s="1"/>
  <c r="D235" i="1"/>
  <c r="K240" i="1"/>
  <c r="K38" i="1" s="1"/>
  <c r="H257" i="1"/>
  <c r="I257" i="1"/>
  <c r="J257" i="1"/>
  <c r="K257" i="1"/>
  <c r="H255" i="1"/>
  <c r="I255" i="1"/>
  <c r="J255" i="1"/>
  <c r="K255" i="1"/>
  <c r="H253" i="1"/>
  <c r="I253" i="1"/>
  <c r="J253" i="1"/>
  <c r="K253" i="1"/>
  <c r="H251" i="1"/>
  <c r="I251" i="1"/>
  <c r="J251" i="1"/>
  <c r="K251" i="1"/>
  <c r="G257" i="1"/>
  <c r="G255" i="1"/>
  <c r="G253" i="1"/>
  <c r="G251" i="1"/>
  <c r="H249" i="1"/>
  <c r="I249" i="1"/>
  <c r="J249" i="1"/>
  <c r="K249" i="1"/>
  <c r="G249" i="1"/>
  <c r="H247" i="1"/>
  <c r="I247" i="1"/>
  <c r="J247" i="1"/>
  <c r="K247" i="1"/>
  <c r="G247" i="1"/>
  <c r="H245" i="1"/>
  <c r="I245" i="1"/>
  <c r="J245" i="1"/>
  <c r="K245" i="1"/>
  <c r="G245" i="1"/>
  <c r="H243" i="1"/>
  <c r="I243" i="1"/>
  <c r="J243" i="1"/>
  <c r="K243" i="1"/>
  <c r="G243" i="1"/>
  <c r="E208" i="1"/>
  <c r="E209" i="1" s="1"/>
  <c r="F208" i="1"/>
  <c r="E204" i="1"/>
  <c r="F204" i="1"/>
  <c r="D204" i="1"/>
  <c r="F198" i="1"/>
  <c r="G195" i="1" s="1"/>
  <c r="E198" i="1"/>
  <c r="G178" i="1"/>
  <c r="H178" i="1" s="1"/>
  <c r="G177" i="1"/>
  <c r="G87" i="1" s="1"/>
  <c r="E179" i="1"/>
  <c r="F179" i="1"/>
  <c r="G175" i="1" s="1"/>
  <c r="E172" i="1"/>
  <c r="F169" i="1" s="1"/>
  <c r="D172" i="1"/>
  <c r="F172" i="1"/>
  <c r="G169" i="1" s="1"/>
  <c r="F81" i="1"/>
  <c r="F82" i="1" s="1"/>
  <c r="F73" i="1"/>
  <c r="E166" i="1"/>
  <c r="E164" i="1" s="1"/>
  <c r="E165" i="1" s="1"/>
  <c r="D166" i="1"/>
  <c r="D164" i="1" s="1"/>
  <c r="D165" i="1" s="1"/>
  <c r="F166" i="1"/>
  <c r="F164" i="1" s="1"/>
  <c r="F170" i="1" s="1"/>
  <c r="F140" i="1"/>
  <c r="G140" i="1" s="1"/>
  <c r="H140" i="1" s="1"/>
  <c r="I140" i="1" s="1"/>
  <c r="J140" i="1" s="1"/>
  <c r="K140" i="1" s="1"/>
  <c r="E140" i="1"/>
  <c r="D140" i="1"/>
  <c r="E138" i="1"/>
  <c r="F135" i="1" s="1"/>
  <c r="F138" i="1"/>
  <c r="G135" i="1" s="1"/>
  <c r="F78" i="1"/>
  <c r="F76" i="1"/>
  <c r="F74" i="1"/>
  <c r="G70" i="1"/>
  <c r="H70" i="1" s="1"/>
  <c r="I70" i="1" s="1"/>
  <c r="J70" i="1" s="1"/>
  <c r="K70" i="1" s="1"/>
  <c r="G69" i="1"/>
  <c r="H69" i="1" s="1"/>
  <c r="I69" i="1" s="1"/>
  <c r="J69" i="1" s="1"/>
  <c r="K69" i="1" s="1"/>
  <c r="F209" i="1" l="1"/>
  <c r="F171" i="1"/>
  <c r="F77" i="1" s="1"/>
  <c r="H177" i="1"/>
  <c r="I177" i="1" s="1"/>
  <c r="J177" i="1" s="1"/>
  <c r="F237" i="1"/>
  <c r="F238" i="1"/>
  <c r="F239" i="1"/>
  <c r="F240" i="1"/>
  <c r="K237" i="1"/>
  <c r="K35" i="1" s="1"/>
  <c r="K105" i="1" s="1"/>
  <c r="G238" i="1"/>
  <c r="G36" i="1" s="1"/>
  <c r="I239" i="1"/>
  <c r="I37" i="1" s="1"/>
  <c r="J239" i="1"/>
  <c r="J37" i="1" s="1"/>
  <c r="G237" i="1"/>
  <c r="G35" i="1" s="1"/>
  <c r="J238" i="1"/>
  <c r="J36" i="1" s="1"/>
  <c r="H240" i="1"/>
  <c r="H38" i="1" s="1"/>
  <c r="H237" i="1"/>
  <c r="H35" i="1" s="1"/>
  <c r="H105" i="1" s="1"/>
  <c r="K238" i="1"/>
  <c r="K36" i="1" s="1"/>
  <c r="I240" i="1"/>
  <c r="I38" i="1" s="1"/>
  <c r="I237" i="1"/>
  <c r="I35" i="1" s="1"/>
  <c r="I105" i="1" s="1"/>
  <c r="H238" i="1"/>
  <c r="H36" i="1" s="1"/>
  <c r="G239" i="1"/>
  <c r="G37" i="1" s="1"/>
  <c r="K239" i="1"/>
  <c r="K37" i="1" s="1"/>
  <c r="J240" i="1"/>
  <c r="J38" i="1" s="1"/>
  <c r="J237" i="1"/>
  <c r="J35" i="1" s="1"/>
  <c r="J105" i="1" s="1"/>
  <c r="I238" i="1"/>
  <c r="I36" i="1" s="1"/>
  <c r="H239" i="1"/>
  <c r="H37" i="1" s="1"/>
  <c r="G240" i="1"/>
  <c r="G38" i="1" s="1"/>
  <c r="I178" i="1"/>
  <c r="H86" i="1"/>
  <c r="H270" i="1" s="1"/>
  <c r="G86" i="1"/>
  <c r="G270" i="1" s="1"/>
  <c r="F165" i="1"/>
  <c r="G165" i="1" s="1"/>
  <c r="H165" i="1" s="1"/>
  <c r="I165" i="1" s="1"/>
  <c r="J165" i="1" s="1"/>
  <c r="K165" i="1" s="1"/>
  <c r="H212" i="1"/>
  <c r="K212" i="1"/>
  <c r="G212" i="1"/>
  <c r="G24" i="1"/>
  <c r="H24" i="1" s="1"/>
  <c r="I24" i="1" s="1"/>
  <c r="J24" i="1" s="1"/>
  <c r="K24" i="1" s="1"/>
  <c r="G47" i="1" l="1"/>
  <c r="H47" i="1" s="1"/>
  <c r="I47" i="1" s="1"/>
  <c r="J47" i="1" s="1"/>
  <c r="K47" i="1" s="1"/>
  <c r="G54" i="1"/>
  <c r="H54" i="1" s="1"/>
  <c r="I54" i="1" s="1"/>
  <c r="J54" i="1" s="1"/>
  <c r="K54" i="1" s="1"/>
  <c r="G136" i="1"/>
  <c r="G105" i="1"/>
  <c r="H87" i="1"/>
  <c r="I87" i="1"/>
  <c r="G50" i="1"/>
  <c r="G172" i="1" s="1"/>
  <c r="G58" i="1"/>
  <c r="H58" i="1" s="1"/>
  <c r="G31" i="1"/>
  <c r="G55" i="1"/>
  <c r="H55" i="1" s="1"/>
  <c r="I55" i="1" s="1"/>
  <c r="J55" i="1" s="1"/>
  <c r="K55" i="1" s="1"/>
  <c r="J178" i="1"/>
  <c r="I86" i="1"/>
  <c r="I270" i="1" s="1"/>
  <c r="J84" i="1"/>
  <c r="J212" i="1"/>
  <c r="K177" i="1"/>
  <c r="K87" i="1" s="1"/>
  <c r="J87" i="1"/>
  <c r="I84" i="1"/>
  <c r="I212" i="1"/>
  <c r="H84" i="1"/>
  <c r="K84" i="1"/>
  <c r="G153" i="1" l="1"/>
  <c r="H153" i="1"/>
  <c r="I153" i="1"/>
  <c r="J153" i="1"/>
  <c r="K153" i="1"/>
  <c r="G81" i="1"/>
  <c r="G82" i="1" s="1"/>
  <c r="H136" i="1"/>
  <c r="H50" i="1"/>
  <c r="H172" i="1" s="1"/>
  <c r="G61" i="1"/>
  <c r="G271" i="1"/>
  <c r="G276" i="1" s="1"/>
  <c r="G277" i="1" s="1"/>
  <c r="G278" i="1" s="1"/>
  <c r="G78" i="1"/>
  <c r="H31" i="1"/>
  <c r="G74" i="1"/>
  <c r="K178" i="1"/>
  <c r="K86" i="1" s="1"/>
  <c r="K270" i="1" s="1"/>
  <c r="J86" i="1"/>
  <c r="J270" i="1" s="1"/>
  <c r="H169" i="1"/>
  <c r="I58" i="1"/>
  <c r="H78" i="1"/>
  <c r="I154" i="1" l="1"/>
  <c r="J154" i="1"/>
  <c r="K154" i="1"/>
  <c r="H81" i="1"/>
  <c r="H82" i="1" s="1"/>
  <c r="H154" i="1"/>
  <c r="I136" i="1"/>
  <c r="I50" i="1"/>
  <c r="J50" i="1" s="1"/>
  <c r="G264" i="1"/>
  <c r="G267" i="1" s="1"/>
  <c r="H61" i="1"/>
  <c r="H271" i="1"/>
  <c r="H276" i="1" s="1"/>
  <c r="I31" i="1"/>
  <c r="H74" i="1"/>
  <c r="I169" i="1"/>
  <c r="I78" i="1"/>
  <c r="J58" i="1"/>
  <c r="G18" i="1"/>
  <c r="G99" i="1" s="1"/>
  <c r="G42" i="1"/>
  <c r="H42" i="1" s="1"/>
  <c r="I42" i="1" s="1"/>
  <c r="J42" i="1" s="1"/>
  <c r="K42" i="1" s="1"/>
  <c r="J155" i="1" l="1"/>
  <c r="K155" i="1"/>
  <c r="I81" i="1"/>
  <c r="I82" i="1" s="1"/>
  <c r="I155" i="1"/>
  <c r="J136" i="1"/>
  <c r="K156" i="1" s="1"/>
  <c r="G45" i="1"/>
  <c r="G121" i="1" s="1"/>
  <c r="G122" i="1" s="1"/>
  <c r="G164" i="1"/>
  <c r="G170" i="1" s="1"/>
  <c r="G171" i="1" s="1"/>
  <c r="G77" i="1" s="1"/>
  <c r="I172" i="1"/>
  <c r="J169" i="1" s="1"/>
  <c r="H275" i="1"/>
  <c r="H277" i="1" s="1"/>
  <c r="H264" i="1"/>
  <c r="H267" i="1" s="1"/>
  <c r="J31" i="1"/>
  <c r="J271" i="1" s="1"/>
  <c r="J276" i="1" s="1"/>
  <c r="I271" i="1"/>
  <c r="I276" i="1" s="1"/>
  <c r="I61" i="1"/>
  <c r="I74" i="1"/>
  <c r="K50" i="1"/>
  <c r="K172" i="1" s="1"/>
  <c r="J172" i="1"/>
  <c r="J78" i="1"/>
  <c r="K58" i="1"/>
  <c r="K78" i="1" s="1"/>
  <c r="G22" i="1"/>
  <c r="G21" i="1"/>
  <c r="G19" i="1"/>
  <c r="H18" i="1"/>
  <c r="F57" i="1"/>
  <c r="F59" i="1" s="1"/>
  <c r="E57" i="1"/>
  <c r="E212" i="1" s="1"/>
  <c r="F64" i="1"/>
  <c r="E64" i="1"/>
  <c r="F44" i="1"/>
  <c r="F117" i="1" s="1"/>
  <c r="G117" i="1" s="1"/>
  <c r="H117" i="1" s="1"/>
  <c r="I117" i="1" s="1"/>
  <c r="J117" i="1" s="1"/>
  <c r="K117" i="1" s="1"/>
  <c r="E44" i="1"/>
  <c r="E42" i="1"/>
  <c r="E38" i="1"/>
  <c r="D38" i="1"/>
  <c r="E37" i="1"/>
  <c r="D37" i="1"/>
  <c r="F38" i="1"/>
  <c r="F37" i="1"/>
  <c r="E35" i="1"/>
  <c r="F35" i="1"/>
  <c r="E20" i="1"/>
  <c r="E36" i="1" s="1"/>
  <c r="F20" i="1"/>
  <c r="F23" i="1" s="1"/>
  <c r="D20" i="1"/>
  <c r="D36" i="1" s="1"/>
  <c r="G53" i="1" l="1"/>
  <c r="G76" i="1" s="1"/>
  <c r="G111" i="1"/>
  <c r="G46" i="1" s="1"/>
  <c r="G123" i="1" s="1"/>
  <c r="G124" i="1" s="1"/>
  <c r="J81" i="1"/>
  <c r="J82" i="1" s="1"/>
  <c r="J156" i="1"/>
  <c r="G293" i="1"/>
  <c r="H164" i="1"/>
  <c r="G101" i="1"/>
  <c r="G20" i="1"/>
  <c r="G23" i="1" s="1"/>
  <c r="G25" i="1" s="1"/>
  <c r="K136" i="1"/>
  <c r="E23" i="1"/>
  <c r="E25" i="1" s="1"/>
  <c r="E39" i="1" s="1"/>
  <c r="I275" i="1"/>
  <c r="I277" i="1" s="1"/>
  <c r="H278" i="1"/>
  <c r="I264" i="1"/>
  <c r="J74" i="1"/>
  <c r="J61" i="1"/>
  <c r="K31" i="1"/>
  <c r="E59" i="1"/>
  <c r="F51" i="1"/>
  <c r="F66" i="1" s="1"/>
  <c r="G189" i="1"/>
  <c r="F212" i="1"/>
  <c r="F84" i="1"/>
  <c r="F88" i="1" s="1"/>
  <c r="E51" i="1"/>
  <c r="D23" i="1"/>
  <c r="K169" i="1"/>
  <c r="F25" i="1"/>
  <c r="F30" i="1"/>
  <c r="F32" i="1" s="1"/>
  <c r="F36" i="1"/>
  <c r="G48" i="1"/>
  <c r="H48" i="1" s="1"/>
  <c r="I48" i="1" s="1"/>
  <c r="J48" i="1" s="1"/>
  <c r="K48" i="1" s="1"/>
  <c r="G84" i="1"/>
  <c r="I18" i="1"/>
  <c r="H21" i="1"/>
  <c r="H19" i="1"/>
  <c r="H22" i="1"/>
  <c r="F16" i="1"/>
  <c r="F15" i="1"/>
  <c r="C2" i="1"/>
  <c r="K157" i="1" l="1"/>
  <c r="G126" i="1"/>
  <c r="G127" i="1" s="1"/>
  <c r="H293" i="1"/>
  <c r="H170" i="1"/>
  <c r="H171" i="1" s="1"/>
  <c r="H77" i="1" s="1"/>
  <c r="I164" i="1"/>
  <c r="H20" i="1"/>
  <c r="H23" i="1" s="1"/>
  <c r="H25" i="1" s="1"/>
  <c r="H26" i="1" s="1"/>
  <c r="H27" i="1" s="1"/>
  <c r="H263" i="1" s="1"/>
  <c r="G110" i="1"/>
  <c r="H109" i="1"/>
  <c r="H111" i="1" s="1"/>
  <c r="H46" i="1" s="1"/>
  <c r="H123" i="1" s="1"/>
  <c r="F260" i="1"/>
  <c r="G260" i="1" s="1"/>
  <c r="H260" i="1" s="1"/>
  <c r="I260" i="1" s="1"/>
  <c r="J260" i="1" s="1"/>
  <c r="K260" i="1" s="1"/>
  <c r="F93" i="1"/>
  <c r="E27" i="1"/>
  <c r="E263" i="1" s="1"/>
  <c r="F261" i="1"/>
  <c r="G261" i="1" s="1"/>
  <c r="H261" i="1" s="1"/>
  <c r="I261" i="1" s="1"/>
  <c r="J261" i="1" s="1"/>
  <c r="K261" i="1" s="1"/>
  <c r="F94" i="1"/>
  <c r="E30" i="1"/>
  <c r="E32" i="1" s="1"/>
  <c r="K81" i="1"/>
  <c r="K82" i="1" s="1"/>
  <c r="E66" i="1"/>
  <c r="K271" i="1"/>
  <c r="K276" i="1" s="1"/>
  <c r="J264" i="1"/>
  <c r="I267" i="1"/>
  <c r="J275" i="1"/>
  <c r="J277" i="1" s="1"/>
  <c r="I278" i="1"/>
  <c r="K61" i="1"/>
  <c r="K74" i="1"/>
  <c r="G15" i="1"/>
  <c r="F132" i="1"/>
  <c r="D25" i="1"/>
  <c r="D30" i="1"/>
  <c r="D32" i="1" s="1"/>
  <c r="E16" i="1"/>
  <c r="D16" i="1" s="1"/>
  <c r="F186" i="1"/>
  <c r="E186" i="1" s="1"/>
  <c r="D186" i="1" s="1"/>
  <c r="F133" i="1"/>
  <c r="F202" i="1"/>
  <c r="E202" i="1" s="1"/>
  <c r="D202" i="1" s="1"/>
  <c r="G75" i="1"/>
  <c r="G16" i="1"/>
  <c r="F43" i="1"/>
  <c r="E15" i="1"/>
  <c r="D15" i="1" s="1"/>
  <c r="F39" i="1"/>
  <c r="F27" i="1"/>
  <c r="F263" i="1" s="1"/>
  <c r="H53" i="1"/>
  <c r="H76" i="1" s="1"/>
  <c r="J18" i="1"/>
  <c r="I22" i="1"/>
  <c r="I19" i="1"/>
  <c r="I21" i="1"/>
  <c r="G26" i="1"/>
  <c r="G27" i="1" s="1"/>
  <c r="G263" i="1" s="1"/>
  <c r="H126" i="1" l="1"/>
  <c r="I293" i="1"/>
  <c r="I109" i="1"/>
  <c r="I111" i="1" s="1"/>
  <c r="I46" i="1" s="1"/>
  <c r="I123" i="1" s="1"/>
  <c r="I170" i="1"/>
  <c r="I171" i="1" s="1"/>
  <c r="I77" i="1" s="1"/>
  <c r="J164" i="1"/>
  <c r="I20" i="1"/>
  <c r="I23" i="1" s="1"/>
  <c r="I25" i="1" s="1"/>
  <c r="I26" i="1" s="1"/>
  <c r="I27" i="1" s="1"/>
  <c r="I263" i="1" s="1"/>
  <c r="H110" i="1"/>
  <c r="E176" i="1"/>
  <c r="E182" i="1" s="1"/>
  <c r="E260" i="1"/>
  <c r="D260" i="1" s="1"/>
  <c r="E261" i="1"/>
  <c r="D261" i="1" s="1"/>
  <c r="G93" i="1"/>
  <c r="H93" i="1" s="1"/>
  <c r="I93" i="1" s="1"/>
  <c r="J93" i="1" s="1"/>
  <c r="K93" i="1" s="1"/>
  <c r="E93" i="1"/>
  <c r="D93" i="1" s="1"/>
  <c r="G94" i="1"/>
  <c r="H94" i="1" s="1"/>
  <c r="I94" i="1" s="1"/>
  <c r="J94" i="1" s="1"/>
  <c r="K94" i="1" s="1"/>
  <c r="E94" i="1"/>
  <c r="D94" i="1" s="1"/>
  <c r="E265" i="1"/>
  <c r="E268" i="1"/>
  <c r="F268" i="1"/>
  <c r="F265" i="1"/>
  <c r="K264" i="1"/>
  <c r="G265" i="1"/>
  <c r="G268" i="1"/>
  <c r="H265" i="1"/>
  <c r="H268" i="1"/>
  <c r="J267" i="1"/>
  <c r="K275" i="1"/>
  <c r="K277" i="1" s="1"/>
  <c r="K278" i="1" s="1"/>
  <c r="J278" i="1"/>
  <c r="H16" i="1"/>
  <c r="G236" i="1"/>
  <c r="G186" i="1"/>
  <c r="H186" i="1" s="1"/>
  <c r="I186" i="1" s="1"/>
  <c r="J186" i="1" s="1"/>
  <c r="K186" i="1" s="1"/>
  <c r="G132" i="1"/>
  <c r="E132" i="1"/>
  <c r="D132" i="1" s="1"/>
  <c r="F72" i="1"/>
  <c r="F79" i="1" s="1"/>
  <c r="F90" i="1" s="1"/>
  <c r="F176" i="1"/>
  <c r="E133" i="1"/>
  <c r="D133" i="1" s="1"/>
  <c r="G133" i="1"/>
  <c r="H133" i="1" s="1"/>
  <c r="I133" i="1" s="1"/>
  <c r="J133" i="1" s="1"/>
  <c r="K133" i="1" s="1"/>
  <c r="D39" i="1"/>
  <c r="D27" i="1"/>
  <c r="H15" i="1"/>
  <c r="G235" i="1"/>
  <c r="H72" i="1"/>
  <c r="H176" i="1"/>
  <c r="H182" i="1" s="1"/>
  <c r="G72" i="1"/>
  <c r="D225" i="1"/>
  <c r="G176" i="1"/>
  <c r="G43" i="1"/>
  <c r="H43" i="1" s="1"/>
  <c r="I43" i="1" s="1"/>
  <c r="J43" i="1" s="1"/>
  <c r="K43" i="1" s="1"/>
  <c r="E43" i="1"/>
  <c r="K18" i="1"/>
  <c r="J19" i="1"/>
  <c r="J21" i="1"/>
  <c r="J22" i="1"/>
  <c r="I53" i="1"/>
  <c r="I76" i="1" s="1"/>
  <c r="H132" i="1" l="1"/>
  <c r="G158" i="1"/>
  <c r="G137" i="1" s="1"/>
  <c r="I126" i="1"/>
  <c r="E181" i="1"/>
  <c r="J293" i="1"/>
  <c r="J170" i="1"/>
  <c r="J171" i="1" s="1"/>
  <c r="J77" i="1" s="1"/>
  <c r="M18" i="1"/>
  <c r="J20" i="1"/>
  <c r="J23" i="1" s="1"/>
  <c r="J25" i="1" s="1"/>
  <c r="I110" i="1"/>
  <c r="J109" i="1"/>
  <c r="J111" i="1" s="1"/>
  <c r="J46" i="1" s="1"/>
  <c r="J123" i="1" s="1"/>
  <c r="D176" i="1"/>
  <c r="D181" i="1" s="1"/>
  <c r="D263" i="1"/>
  <c r="K267" i="1"/>
  <c r="K164" i="1"/>
  <c r="I265" i="1"/>
  <c r="I268" i="1"/>
  <c r="I15" i="1"/>
  <c r="H235" i="1"/>
  <c r="F181" i="1"/>
  <c r="G181" i="1" s="1"/>
  <c r="H181" i="1" s="1"/>
  <c r="I181" i="1" s="1"/>
  <c r="J181" i="1" s="1"/>
  <c r="K181" i="1" s="1"/>
  <c r="F182" i="1"/>
  <c r="I16" i="1"/>
  <c r="H236" i="1"/>
  <c r="I72" i="1"/>
  <c r="I176" i="1"/>
  <c r="I182" i="1" s="1"/>
  <c r="G182" i="1"/>
  <c r="G179" i="1"/>
  <c r="K21" i="1"/>
  <c r="K19" i="1"/>
  <c r="K22" i="1"/>
  <c r="J53" i="1"/>
  <c r="J76" i="1" s="1"/>
  <c r="I132" i="1" l="1"/>
  <c r="H152" i="1"/>
  <c r="H158" i="1" s="1"/>
  <c r="H137" i="1" s="1"/>
  <c r="H166" i="1" s="1"/>
  <c r="H29" i="1" s="1"/>
  <c r="G138" i="1"/>
  <c r="G166" i="1"/>
  <c r="G29" i="1" s="1"/>
  <c r="J126" i="1"/>
  <c r="D182" i="1"/>
  <c r="K293" i="1"/>
  <c r="J110" i="1"/>
  <c r="K109" i="1"/>
  <c r="K111" i="1" s="1"/>
  <c r="K46" i="1" s="1"/>
  <c r="K123" i="1" s="1"/>
  <c r="D268" i="1"/>
  <c r="D265" i="1"/>
  <c r="K20" i="1"/>
  <c r="K23" i="1" s="1"/>
  <c r="M23" i="1" s="1"/>
  <c r="K170" i="1"/>
  <c r="K171" i="1" s="1"/>
  <c r="K77" i="1" s="1"/>
  <c r="J16" i="1"/>
  <c r="I236" i="1"/>
  <c r="J15" i="1"/>
  <c r="I235" i="1"/>
  <c r="H175" i="1"/>
  <c r="H179" i="1" s="1"/>
  <c r="G62" i="1"/>
  <c r="G64" i="1" s="1"/>
  <c r="K53" i="1"/>
  <c r="K126" i="1" s="1"/>
  <c r="J26" i="1"/>
  <c r="J27" i="1" s="1"/>
  <c r="J263" i="1" s="1"/>
  <c r="G73" i="1" l="1"/>
  <c r="G79" i="1" s="1"/>
  <c r="G191" i="1" s="1"/>
  <c r="G192" i="1" s="1"/>
  <c r="G196" i="1" s="1"/>
  <c r="G198" i="1" s="1"/>
  <c r="G30" i="1"/>
  <c r="G32" i="1" s="1"/>
  <c r="G202" i="1" s="1"/>
  <c r="H202" i="1" s="1"/>
  <c r="I202" i="1" s="1"/>
  <c r="J202" i="1" s="1"/>
  <c r="K202" i="1" s="1"/>
  <c r="G49" i="1"/>
  <c r="H135" i="1"/>
  <c r="H138" i="1" s="1"/>
  <c r="H73" i="1"/>
  <c r="H30" i="1"/>
  <c r="H32" i="1" s="1"/>
  <c r="J132" i="1"/>
  <c r="I152" i="1"/>
  <c r="I158" i="1" s="1"/>
  <c r="I137" i="1" s="1"/>
  <c r="I166" i="1" s="1"/>
  <c r="I29" i="1" s="1"/>
  <c r="K110" i="1"/>
  <c r="J265" i="1"/>
  <c r="J268" i="1"/>
  <c r="K15" i="1"/>
  <c r="K235" i="1" s="1"/>
  <c r="J235" i="1"/>
  <c r="K16" i="1"/>
  <c r="K236" i="1" s="1"/>
  <c r="J236" i="1"/>
  <c r="J72" i="1"/>
  <c r="J176" i="1"/>
  <c r="J182" i="1" s="1"/>
  <c r="K25" i="1"/>
  <c r="I175" i="1"/>
  <c r="I179" i="1" s="1"/>
  <c r="H62" i="1"/>
  <c r="H64" i="1" s="1"/>
  <c r="K76" i="1"/>
  <c r="I73" i="1" l="1"/>
  <c r="I30" i="1"/>
  <c r="I32" i="1" s="1"/>
  <c r="H49" i="1"/>
  <c r="I135" i="1"/>
  <c r="I138" i="1" s="1"/>
  <c r="K132" i="1"/>
  <c r="K152" i="1" s="1"/>
  <c r="K158" i="1" s="1"/>
  <c r="K137" i="1" s="1"/>
  <c r="K166" i="1" s="1"/>
  <c r="K29" i="1" s="1"/>
  <c r="J152" i="1"/>
  <c r="J158" i="1" s="1"/>
  <c r="J137" i="1" s="1"/>
  <c r="J166" i="1" s="1"/>
  <c r="J29" i="1" s="1"/>
  <c r="H195" i="1"/>
  <c r="G56" i="1"/>
  <c r="K26" i="1"/>
  <c r="K27" i="1" s="1"/>
  <c r="J175" i="1"/>
  <c r="J179" i="1" s="1"/>
  <c r="I62" i="1"/>
  <c r="I64" i="1" s="1"/>
  <c r="G208" i="1" l="1"/>
  <c r="G209" i="1" s="1"/>
  <c r="G59" i="1"/>
  <c r="G85" i="1"/>
  <c r="G88" i="1" s="1"/>
  <c r="G90" i="1" s="1"/>
  <c r="G44" i="1" s="1"/>
  <c r="J135" i="1"/>
  <c r="J138" i="1" s="1"/>
  <c r="I49" i="1"/>
  <c r="J73" i="1"/>
  <c r="J30" i="1"/>
  <c r="J32" i="1" s="1"/>
  <c r="K73" i="1"/>
  <c r="K30" i="1"/>
  <c r="K72" i="1"/>
  <c r="M27" i="1"/>
  <c r="K176" i="1"/>
  <c r="K182" i="1" s="1"/>
  <c r="K263" i="1"/>
  <c r="K175" i="1"/>
  <c r="J62" i="1"/>
  <c r="J64" i="1" s="1"/>
  <c r="M30" i="1" l="1"/>
  <c r="G51" i="1"/>
  <c r="G66" i="1" s="1"/>
  <c r="H189" i="1"/>
  <c r="G218" i="1"/>
  <c r="J49" i="1"/>
  <c r="K135" i="1"/>
  <c r="K138" i="1" s="1"/>
  <c r="K49" i="1" s="1"/>
  <c r="K32" i="1"/>
  <c r="M32" i="1" s="1"/>
  <c r="K179" i="1"/>
  <c r="K62" i="1" s="1"/>
  <c r="K64" i="1" s="1"/>
  <c r="K265" i="1"/>
  <c r="K268" i="1"/>
  <c r="H97" i="1" l="1"/>
  <c r="G98" i="1"/>
  <c r="H99" i="1" l="1"/>
  <c r="H45" i="1" l="1"/>
  <c r="H101" i="1"/>
  <c r="I97" i="1"/>
  <c r="H98" i="1"/>
  <c r="H75" i="1" l="1"/>
  <c r="H79" i="1" s="1"/>
  <c r="H191" i="1" s="1"/>
  <c r="H192" i="1" s="1"/>
  <c r="H196" i="1" s="1"/>
  <c r="H198" i="1" s="1"/>
  <c r="I195" i="1" s="1"/>
  <c r="H121" i="1"/>
  <c r="H122" i="1" s="1"/>
  <c r="H124" i="1" s="1"/>
  <c r="H127" i="1" s="1"/>
  <c r="I99" i="1"/>
  <c r="H56" i="1" l="1"/>
  <c r="H85" i="1" s="1"/>
  <c r="H88" i="1" s="1"/>
  <c r="H90" i="1" s="1"/>
  <c r="H44" i="1" s="1"/>
  <c r="I45" i="1"/>
  <c r="I101" i="1"/>
  <c r="J97" i="1"/>
  <c r="I98" i="1"/>
  <c r="H59" i="1" l="1"/>
  <c r="H208" i="1"/>
  <c r="H209" i="1" s="1"/>
  <c r="I75" i="1"/>
  <c r="I79" i="1" s="1"/>
  <c r="I191" i="1" s="1"/>
  <c r="I121" i="1"/>
  <c r="I122" i="1" s="1"/>
  <c r="I124" i="1" s="1"/>
  <c r="I127" i="1" s="1"/>
  <c r="I189" i="1"/>
  <c r="H218" i="1"/>
  <c r="H51" i="1"/>
  <c r="J99" i="1"/>
  <c r="H66" i="1" l="1"/>
  <c r="I192" i="1"/>
  <c r="I196" i="1" s="1"/>
  <c r="I198" i="1" s="1"/>
  <c r="J195" i="1" s="1"/>
  <c r="J45" i="1"/>
  <c r="J101" i="1"/>
  <c r="K97" i="1"/>
  <c r="J98" i="1"/>
  <c r="I56" i="1" l="1"/>
  <c r="I208" i="1" s="1"/>
  <c r="I209" i="1" s="1"/>
  <c r="J75" i="1"/>
  <c r="J79" i="1" s="1"/>
  <c r="J191" i="1" s="1"/>
  <c r="J121" i="1"/>
  <c r="J122" i="1" s="1"/>
  <c r="J124" i="1" s="1"/>
  <c r="J127" i="1" s="1"/>
  <c r="K99" i="1"/>
  <c r="K101" i="1" s="1"/>
  <c r="I85" i="1" l="1"/>
  <c r="I88" i="1" s="1"/>
  <c r="I90" i="1" s="1"/>
  <c r="I44" i="1" s="1"/>
  <c r="I51" i="1" s="1"/>
  <c r="I59" i="1"/>
  <c r="K98" i="1"/>
  <c r="K45" i="1"/>
  <c r="I218" i="1" l="1"/>
  <c r="J189" i="1"/>
  <c r="J192" i="1" s="1"/>
  <c r="J196" i="1" s="1"/>
  <c r="J198" i="1" s="1"/>
  <c r="J56" i="1" s="1"/>
  <c r="I66" i="1"/>
  <c r="K75" i="1"/>
  <c r="K79" i="1" s="1"/>
  <c r="K191" i="1" s="1"/>
  <c r="K121" i="1"/>
  <c r="K122" i="1" s="1"/>
  <c r="K124" i="1" s="1"/>
  <c r="K127" i="1" s="1"/>
  <c r="K195" i="1" l="1"/>
  <c r="J208" i="1"/>
  <c r="J209" i="1" s="1"/>
  <c r="J59" i="1"/>
  <c r="J85" i="1"/>
  <c r="J88" i="1" s="1"/>
  <c r="J90" i="1" s="1"/>
  <c r="J44" i="1" s="1"/>
  <c r="J218" i="1" l="1"/>
  <c r="J51" i="1"/>
  <c r="J66" i="1" s="1"/>
  <c r="K189" i="1"/>
  <c r="K192" i="1" s="1"/>
  <c r="K196" i="1" s="1"/>
  <c r="K198" i="1" s="1"/>
  <c r="K56" i="1" s="1"/>
  <c r="K208" i="1" l="1"/>
  <c r="K209" i="1" s="1"/>
  <c r="K85" i="1"/>
  <c r="K88" i="1" s="1"/>
  <c r="K90" i="1" s="1"/>
  <c r="K44" i="1" s="1"/>
  <c r="K59" i="1"/>
  <c r="K51" i="1" l="1"/>
  <c r="K66" i="1" s="1"/>
  <c r="K218" i="1"/>
  <c r="D185" i="1" l="1"/>
  <c r="E185" i="1"/>
  <c r="F185" i="1"/>
  <c r="G185" i="1"/>
  <c r="H185" i="1"/>
  <c r="I185" i="1"/>
  <c r="J185" i="1"/>
  <c r="K185" i="1"/>
  <c r="D201" i="1"/>
  <c r="E201" i="1"/>
  <c r="F201" i="1"/>
  <c r="G201" i="1"/>
  <c r="H201" i="1"/>
  <c r="I201" i="1"/>
  <c r="J201" i="1"/>
  <c r="K201" i="1"/>
</calcChain>
</file>

<file path=xl/sharedStrings.xml><?xml version="1.0" encoding="utf-8"?>
<sst xmlns="http://schemas.openxmlformats.org/spreadsheetml/2006/main" count="272" uniqueCount="201">
  <si>
    <t>$ in thousands except per share</t>
  </si>
  <si>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</si>
  <si>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</si>
  <si>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</si>
  <si>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</si>
  <si>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</si>
  <si>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</si>
  <si>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outstanding(millions)</t>
  </si>
  <si>
    <t>Apple</t>
  </si>
  <si>
    <t>AAPL</t>
  </si>
  <si>
    <t>INCOME STATEMENT</t>
  </si>
  <si>
    <t>Fiscal year</t>
  </si>
  <si>
    <t>Fiscal year end date</t>
  </si>
  <si>
    <t>Revenue</t>
  </si>
  <si>
    <t>Cost of Sales(enter as -)</t>
  </si>
  <si>
    <t>Gross Profit</t>
  </si>
  <si>
    <t>Research and development</t>
  </si>
  <si>
    <t>Selling, general and administrative</t>
  </si>
  <si>
    <t>Operating Profit (EBIT)</t>
  </si>
  <si>
    <t>Pretax Profit (EBT)</t>
  </si>
  <si>
    <t>Taxes (enter as -)</t>
  </si>
  <si>
    <t>Net Income</t>
  </si>
  <si>
    <t>Other income/(expense), net (enter as -)</t>
  </si>
  <si>
    <t>Depreciation &amp; amortization</t>
  </si>
  <si>
    <t>EBITDA</t>
  </si>
  <si>
    <t>Stock Based Compensation</t>
  </si>
  <si>
    <t>Adjusted EBITDA</t>
  </si>
  <si>
    <t>Growth rate &amp; margins</t>
  </si>
  <si>
    <t>Revenue Growth</t>
  </si>
  <si>
    <t>Gross Profit Margin</t>
  </si>
  <si>
    <t>R&amp;D % of sales</t>
  </si>
  <si>
    <t>SG&amp;A % of sales</t>
  </si>
  <si>
    <t>Tax rate</t>
  </si>
  <si>
    <t>Cash &amp; equivalents, ST and LT Marketable securities</t>
  </si>
  <si>
    <t>Accounts receivable</t>
  </si>
  <si>
    <t>Inventories</t>
  </si>
  <si>
    <t>Other current assets</t>
  </si>
  <si>
    <t>Other non-current assets</t>
  </si>
  <si>
    <t>Property, plant &amp; equipment</t>
  </si>
  <si>
    <t>Total assets</t>
  </si>
  <si>
    <t>Accounts payable</t>
  </si>
  <si>
    <t>Other current liabilities</t>
  </si>
  <si>
    <t>Other non-current liabilities</t>
  </si>
  <si>
    <t>Deferred revenue (current and non current)</t>
  </si>
  <si>
    <t>Commercial paper / revolver</t>
  </si>
  <si>
    <t xml:space="preserve">Long Term debt (includes current portion) </t>
  </si>
  <si>
    <t>Total liabilities</t>
  </si>
  <si>
    <t>Common stock</t>
  </si>
  <si>
    <t>Retained Earnings (Accumulated deficit)</t>
  </si>
  <si>
    <t>Other comprehensive income/loss</t>
  </si>
  <si>
    <t>Total Equity</t>
  </si>
  <si>
    <t>Balance check</t>
  </si>
  <si>
    <t>Additional Data</t>
  </si>
  <si>
    <t>Capital Expenditure (enter as +)</t>
  </si>
  <si>
    <t>D&amp;A related only to PP&amp;E (enter as -)</t>
  </si>
  <si>
    <t>Dividends</t>
  </si>
  <si>
    <t>Repurchases</t>
  </si>
  <si>
    <t>Weighted average interest rate on commercial paper</t>
  </si>
  <si>
    <t>Weighted average interest rate on cash</t>
  </si>
  <si>
    <t>Assumed Values</t>
  </si>
  <si>
    <t>BALANCE SHEET</t>
  </si>
  <si>
    <t>CASH FLOW STATEMENT</t>
  </si>
  <si>
    <t>Net income</t>
  </si>
  <si>
    <t>Depreciation and amortization</t>
  </si>
  <si>
    <t>Stock based compensation</t>
  </si>
  <si>
    <t>Decreases / (Increases) in working capital assets</t>
  </si>
  <si>
    <t>Increases / (Decreases) in working capital liabilities</t>
  </si>
  <si>
    <t>Other non current assets</t>
  </si>
  <si>
    <t>Other non current liabilities</t>
  </si>
  <si>
    <t>Cash from operating activities</t>
  </si>
  <si>
    <t>Capital expenditures</t>
  </si>
  <si>
    <t>Cash from investing activities</t>
  </si>
  <si>
    <t xml:space="preserve">Long term debt </t>
  </si>
  <si>
    <t>Revolver</t>
  </si>
  <si>
    <t>Share repurchases</t>
  </si>
  <si>
    <t>Common dividends</t>
  </si>
  <si>
    <t>Cash from financing activities</t>
  </si>
  <si>
    <t>Net change in cash during period</t>
  </si>
  <si>
    <t>PROPERTY PLANT &amp; EQUIPMENT</t>
  </si>
  <si>
    <t>Beginning of period</t>
  </si>
  <si>
    <t xml:space="preserve">  Plus: Capital expenditure</t>
  </si>
  <si>
    <t xml:space="preserve">  Less: Depriciation</t>
  </si>
  <si>
    <t>End of period</t>
  </si>
  <si>
    <t>D&amp;A Related to PP&amp;E as a % of Capex</t>
  </si>
  <si>
    <t>INPUTTING TOTAL DEPRECIATION &amp; AMMORTIZATION</t>
  </si>
  <si>
    <r>
      <t xml:space="preserve">D&amp;A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Related to PP&amp;E</t>
    </r>
  </si>
  <si>
    <t xml:space="preserve">  as % of revenue</t>
  </si>
  <si>
    <t>DEPRECIATION &amp; AMMORTIZATION - Total</t>
  </si>
  <si>
    <t>OTHER NON CURRENT ASSETS</t>
  </si>
  <si>
    <t xml:space="preserve">  Less: D&amp;A not Related to PP&amp;E</t>
  </si>
  <si>
    <t xml:space="preserve">  Plus: Additions</t>
  </si>
  <si>
    <t>RETAINED EARNINGS</t>
  </si>
  <si>
    <t xml:space="preserve">  Plus: Net income</t>
  </si>
  <si>
    <t xml:space="preserve">  Less: Dividends</t>
  </si>
  <si>
    <t xml:space="preserve">  Less: Repurchases</t>
  </si>
  <si>
    <t>Dividend payout ratio</t>
  </si>
  <si>
    <t>Repurchase as % of net income</t>
  </si>
  <si>
    <t>Step</t>
  </si>
  <si>
    <t>REVOLVER (MODEL PLUG)</t>
  </si>
  <si>
    <t>Revolver needs analysis</t>
  </si>
  <si>
    <t xml:space="preserve">  Cash at beginning of period (BOP)</t>
  </si>
  <si>
    <t xml:space="preserve">  Equals: Cash available (needed) to pay down (draw from) revolver</t>
  </si>
  <si>
    <t xml:space="preserve">  Plus: Current period cash flows except revovler</t>
  </si>
  <si>
    <t xml:space="preserve">  Less: Minimum cash balance</t>
  </si>
  <si>
    <t>Draw / (paydown)</t>
  </si>
  <si>
    <t>Additional discretionary / (paydown)</t>
  </si>
  <si>
    <t xml:space="preserve">6 months of OpEx </t>
  </si>
  <si>
    <t xml:space="preserve">Total interest expense </t>
  </si>
  <si>
    <t xml:space="preserve">  Weighted average interest rate </t>
  </si>
  <si>
    <t xml:space="preserve">  End of period balance (from B/S)</t>
  </si>
  <si>
    <t xml:space="preserve">  Interest expenses</t>
  </si>
  <si>
    <t>Long term debt</t>
  </si>
  <si>
    <t>INTEREST INCOME AND EXPENSE</t>
  </si>
  <si>
    <t>Interest income</t>
  </si>
  <si>
    <t>This coloumn could 
be used if Interest income and interest expense was given in the 10K Report</t>
  </si>
  <si>
    <t>SENSITIVITY ANALYSIS</t>
  </si>
  <si>
    <t>First forecast year net income sesitivity</t>
  </si>
  <si>
    <t>Gross Profit margin</t>
  </si>
  <si>
    <t>SCENARIO ANALYSIS</t>
  </si>
  <si>
    <t xml:space="preserve">Active case: </t>
  </si>
  <si>
    <t xml:space="preserve">  Revenue Growth</t>
  </si>
  <si>
    <t xml:space="preserve">  Gross Profit Margin</t>
  </si>
  <si>
    <t xml:space="preserve">  R&amp;D % of sales</t>
  </si>
  <si>
    <t xml:space="preserve">  SG&amp;A % of sales</t>
  </si>
  <si>
    <t xml:space="preserve">    Best case</t>
  </si>
  <si>
    <t xml:space="preserve">    Base case</t>
  </si>
  <si>
    <t xml:space="preserve">    Weak case</t>
  </si>
  <si>
    <t>Variance</t>
  </si>
  <si>
    <t>Select an operating scenario</t>
  </si>
  <si>
    <t>NM</t>
  </si>
  <si>
    <t>EARNINGS PER SHARE</t>
  </si>
  <si>
    <t>Basic EPS</t>
  </si>
  <si>
    <t>Diluted shares</t>
  </si>
  <si>
    <t>Diluted EPS</t>
  </si>
  <si>
    <t>$ Amount of share repurchased</t>
  </si>
  <si>
    <t>$ Amount of new shares issued</t>
  </si>
  <si>
    <t>Average share price</t>
  </si>
  <si>
    <t>Share price increase</t>
  </si>
  <si>
    <t>Basic shares - BOP</t>
  </si>
  <si>
    <t>Net change in basic shares</t>
  </si>
  <si>
    <t>Basic shares - EOP</t>
  </si>
  <si>
    <t>Basic shares - Average</t>
  </si>
  <si>
    <t>Basic shares (in millions)</t>
  </si>
  <si>
    <t>Price / volume build</t>
  </si>
  <si>
    <t xml:space="preserve">Fiscal year </t>
  </si>
  <si>
    <t>Revenue by product</t>
  </si>
  <si>
    <t>Core products</t>
  </si>
  <si>
    <t xml:space="preserve">  iPhone</t>
  </si>
  <si>
    <t xml:space="preserve">  iPad</t>
  </si>
  <si>
    <t xml:space="preserve">  Mac</t>
  </si>
  <si>
    <t xml:space="preserve">  Wearables, Home and Accessories</t>
  </si>
  <si>
    <t xml:space="preserve">  Services</t>
  </si>
  <si>
    <t>Total Revenue</t>
  </si>
  <si>
    <t xml:space="preserve">        %growth</t>
  </si>
  <si>
    <t xml:space="preserve">Units </t>
  </si>
  <si>
    <t>Average selling price</t>
  </si>
  <si>
    <t>Unit % growth</t>
  </si>
  <si>
    <t>Average selling price % growth</t>
  </si>
  <si>
    <t>Revenue growth rate by product</t>
  </si>
  <si>
    <t>5 Year</t>
  </si>
  <si>
    <t>CAGR</t>
  </si>
  <si>
    <t>WORKING CAPITAL</t>
  </si>
  <si>
    <t>ACCOUNTS RECEIVABLE</t>
  </si>
  <si>
    <t xml:space="preserve">  Beginning of period</t>
  </si>
  <si>
    <t xml:space="preserve">  End of period</t>
  </si>
  <si>
    <t xml:space="preserve">  Increases / (decreases)</t>
  </si>
  <si>
    <t>Historical</t>
  </si>
  <si>
    <t>Forecast</t>
  </si>
  <si>
    <t>Average AR as % of sales</t>
  </si>
  <si>
    <t>Select an A/R forecasting approach (1=grow w rev, 2=explicit DSO)</t>
  </si>
  <si>
    <t>Approach 1: Grow A/R with revenue growth rate</t>
  </si>
  <si>
    <t>Approach 2: Days sales outstanding (DSO) Assumption</t>
  </si>
  <si>
    <t>Select an inventory forecasting approach:</t>
  </si>
  <si>
    <t>Approach 1: Keep avg. inventory / COGS ratio constant</t>
  </si>
  <si>
    <t>Approach 2: Inventory turnover (using 365 day year)</t>
  </si>
  <si>
    <t>INVENTORY</t>
  </si>
  <si>
    <t>Working capital ratios / Liquidity</t>
  </si>
  <si>
    <t>Trade A/R Days sales outstanding (average)</t>
  </si>
  <si>
    <t xml:space="preserve">Trade A/R + Non-Trade A/R Days sales outstanding (average) </t>
  </si>
  <si>
    <t>Days inventory outstanding</t>
  </si>
  <si>
    <t>Operating cycle (inc vendor non-trade A/R)</t>
  </si>
  <si>
    <t>Days payable outstanding</t>
  </si>
  <si>
    <t>Net operating cycle (Cash conversion cycle)</t>
  </si>
  <si>
    <t>Vendor non-trade receivables</t>
  </si>
  <si>
    <t>Depreciation waterfall</t>
  </si>
  <si>
    <t>Existing PP&amp;E</t>
  </si>
  <si>
    <t>Gross PP&amp;E</t>
  </si>
  <si>
    <t>Non-depreciable PP&amp;E (i.e. land)</t>
  </si>
  <si>
    <t>Accumulated depreciation</t>
  </si>
  <si>
    <t>Net PP&amp;E (excl. land)</t>
  </si>
  <si>
    <t>Average useful life</t>
  </si>
  <si>
    <t>Override - if necessary for smoothing</t>
  </si>
  <si>
    <t>Depreciation from existing PP&amp;E</t>
  </si>
  <si>
    <t>Total depreciation</t>
  </si>
  <si>
    <t xml:space="preserve">Mid year adjustment 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</si>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</sst>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,,"/>
    <numFmt numFmtId="165" formatCode="0&quot;A&quot;"/>
    <numFmt numFmtId="166" formatCode="0.00_);\(0.00\)"/>
    <numFmt numFmtId="167" formatCode="0.0%"/>
    <numFmt numFmtId="168" formatCode="0&quot;E&quot;"/>
    <numFmt numFmtId="169" formatCode="0.0%;\(0.0%\)"/>
    <numFmt numFmtId="170" formatCode="#,##0.0"/>
    <numFmt numFmtId="171" formatCode="0\ &quot;Days&quot;"/>
    <numFmt numFmtId="172" formatCode="#,##0.0\x_);\(#,##0.0\x\)\ "/>
    <numFmt numFmtId="173" formatCode="0.0%_);\(0.0%\);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Font="1"/>
    <xf numFmtId="0" fontId="1" fillId="0" borderId="0" xfId="0" applyFont="1"/>
    <xf numFmtId="8" fontId="3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0" fontId="0" fillId="0" borderId="2" xfId="0" applyBorder="1"/>
    <xf numFmtId="165" fontId="1" fillId="0" borderId="2" xfId="0" applyNumberFormat="1" applyFont="1" applyBorder="1"/>
    <xf numFmtId="0" fontId="2" fillId="0" borderId="3" xfId="0" applyFont="1" applyBorder="1"/>
    <xf numFmtId="14" fontId="2" fillId="0" borderId="3" xfId="0" applyNumberFormat="1" applyFont="1" applyBorder="1"/>
    <xf numFmtId="3" fontId="0" fillId="0" borderId="0" xfId="0" applyNumberFormat="1"/>
    <xf numFmtId="3" fontId="3" fillId="0" borderId="0" xfId="0" applyNumberFormat="1" applyFont="1"/>
    <xf numFmtId="37" fontId="3" fillId="0" borderId="0" xfId="0" applyNumberFormat="1" applyFont="1"/>
    <xf numFmtId="166" fontId="0" fillId="0" borderId="0" xfId="0" applyNumberFormat="1"/>
    <xf numFmtId="37" fontId="0" fillId="0" borderId="0" xfId="0" applyNumberFormat="1"/>
    <xf numFmtId="37" fontId="1" fillId="0" borderId="0" xfId="0" applyNumberFormat="1" applyFont="1"/>
    <xf numFmtId="0" fontId="5" fillId="0" borderId="0" xfId="0" applyFont="1"/>
    <xf numFmtId="167" fontId="0" fillId="0" borderId="0" xfId="1" applyNumberFormat="1" applyFont="1"/>
    <xf numFmtId="0" fontId="0" fillId="0" borderId="0" xfId="0" applyFill="1" applyBorder="1"/>
    <xf numFmtId="10" fontId="0" fillId="0" borderId="0" xfId="0" applyNumberFormat="1"/>
    <xf numFmtId="168" fontId="1" fillId="0" borderId="2" xfId="0" applyNumberFormat="1" applyFont="1" applyBorder="1"/>
    <xf numFmtId="37" fontId="6" fillId="0" borderId="0" xfId="0" applyNumberFormat="1" applyFont="1"/>
    <xf numFmtId="14" fontId="2" fillId="0" borderId="0" xfId="0" applyNumberFormat="1" applyFont="1" applyBorder="1"/>
    <xf numFmtId="0" fontId="1" fillId="0" borderId="4" xfId="0" applyFont="1" applyBorder="1"/>
    <xf numFmtId="37" fontId="1" fillId="0" borderId="4" xfId="0" applyNumberFormat="1" applyFont="1" applyBorder="1"/>
    <xf numFmtId="0" fontId="0" fillId="0" borderId="0" xfId="0" applyAlignment="1">
      <alignment wrapText="1"/>
    </xf>
    <xf numFmtId="0" fontId="7" fillId="0" borderId="0" xfId="0" applyFont="1"/>
    <xf numFmtId="10" fontId="3" fillId="0" borderId="0" xfId="0" applyNumberFormat="1" applyFont="1"/>
    <xf numFmtId="37" fontId="0" fillId="0" borderId="2" xfId="0" applyNumberFormat="1" applyBorder="1"/>
    <xf numFmtId="37" fontId="0" fillId="0" borderId="0" xfId="0" applyNumberFormat="1" applyFill="1"/>
    <xf numFmtId="37" fontId="0" fillId="0" borderId="2" xfId="0" applyNumberFormat="1" applyFill="1" applyBorder="1"/>
    <xf numFmtId="37" fontId="2" fillId="0" borderId="0" xfId="0" applyNumberFormat="1" applyFont="1"/>
    <xf numFmtId="37" fontId="3" fillId="0" borderId="0" xfId="0" applyNumberFormat="1" applyFont="1" applyFill="1"/>
    <xf numFmtId="0" fontId="8" fillId="0" borderId="0" xfId="0" applyFont="1"/>
    <xf numFmtId="10" fontId="0" fillId="0" borderId="0" xfId="0" applyNumberFormat="1" applyFont="1"/>
    <xf numFmtId="0" fontId="0" fillId="0" borderId="4" xfId="0" applyBorder="1"/>
    <xf numFmtId="37" fontId="1" fillId="0" borderId="0" xfId="0" applyNumberFormat="1" applyFont="1" applyFill="1"/>
    <xf numFmtId="0" fontId="0" fillId="0" borderId="0" xfId="0" applyFill="1"/>
    <xf numFmtId="169" fontId="3" fillId="0" borderId="0" xfId="1" applyNumberFormat="1" applyFont="1" applyFill="1"/>
    <xf numFmtId="167" fontId="0" fillId="0" borderId="0" xfId="1" applyNumberFormat="1" applyFont="1" applyFill="1"/>
    <xf numFmtId="168" fontId="1" fillId="0" borderId="2" xfId="0" applyNumberFormat="1" applyFont="1" applyFill="1" applyBorder="1"/>
    <xf numFmtId="14" fontId="2" fillId="0" borderId="3" xfId="0" applyNumberFormat="1" applyFont="1" applyFill="1" applyBorder="1"/>
    <xf numFmtId="37" fontId="0" fillId="0" borderId="0" xfId="0" applyNumberFormat="1" applyFont="1" applyFill="1"/>
    <xf numFmtId="37" fontId="6" fillId="0" borderId="0" xfId="0" applyNumberFormat="1" applyFont="1" applyFill="1"/>
    <xf numFmtId="37" fontId="2" fillId="0" borderId="0" xfId="0" applyNumberFormat="1" applyFont="1" applyFill="1"/>
    <xf numFmtId="37" fontId="1" fillId="0" borderId="4" xfId="0" applyNumberFormat="1" applyFont="1" applyFill="1" applyBorder="1"/>
    <xf numFmtId="167" fontId="3" fillId="0" borderId="0" xfId="1" applyNumberFormat="1" applyFont="1" applyFill="1"/>
    <xf numFmtId="0" fontId="3" fillId="0" borderId="0" xfId="0" applyFont="1" applyFill="1"/>
    <xf numFmtId="0" fontId="1" fillId="0" borderId="3" xfId="0" applyFont="1" applyBorder="1"/>
    <xf numFmtId="0" fontId="1" fillId="0" borderId="5" xfId="0" applyFont="1" applyBorder="1"/>
    <xf numFmtId="0" fontId="0" fillId="0" borderId="5" xfId="0" applyBorder="1"/>
    <xf numFmtId="169" fontId="3" fillId="0" borderId="0" xfId="0" applyNumberFormat="1" applyFont="1"/>
    <xf numFmtId="37" fontId="9" fillId="0" borderId="0" xfId="0" applyNumberFormat="1" applyFont="1"/>
    <xf numFmtId="0" fontId="0" fillId="0" borderId="3" xfId="0" applyBorder="1"/>
    <xf numFmtId="2" fontId="0" fillId="0" borderId="3" xfId="0" applyNumberFormat="1" applyBorder="1"/>
    <xf numFmtId="168" fontId="0" fillId="0" borderId="0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3" fillId="0" borderId="10" xfId="0" applyNumberFormat="1" applyFont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7" fontId="0" fillId="0" borderId="0" xfId="0" applyNumberFormat="1"/>
    <xf numFmtId="164" fontId="1" fillId="0" borderId="7" xfId="0" applyNumberFormat="1" applyFont="1" applyBorder="1"/>
    <xf numFmtId="167" fontId="0" fillId="2" borderId="0" xfId="0" applyNumberFormat="1" applyFill="1"/>
    <xf numFmtId="167" fontId="3" fillId="0" borderId="0" xfId="0" applyNumberFormat="1" applyFont="1"/>
    <xf numFmtId="169" fontId="4" fillId="0" borderId="0" xfId="1" applyNumberFormat="1" applyFont="1" applyFill="1"/>
    <xf numFmtId="167" fontId="0" fillId="2" borderId="12" xfId="0" applyNumberFormat="1" applyFill="1" applyBorder="1" applyAlignment="1">
      <alignment vertical="center"/>
    </xf>
    <xf numFmtId="167" fontId="0" fillId="2" borderId="10" xfId="0" applyNumberFormat="1" applyFill="1" applyBorder="1" applyAlignment="1">
      <alignment vertical="center"/>
    </xf>
    <xf numFmtId="7" fontId="0" fillId="0" borderId="0" xfId="0" applyNumberFormat="1"/>
    <xf numFmtId="39" fontId="3" fillId="0" borderId="0" xfId="0" applyNumberFormat="1" applyFont="1"/>
    <xf numFmtId="39" fontId="0" fillId="0" borderId="0" xfId="0" applyNumberFormat="1" applyFont="1"/>
    <xf numFmtId="7" fontId="1" fillId="0" borderId="0" xfId="2" applyNumberFormat="1" applyFont="1"/>
    <xf numFmtId="39" fontId="10" fillId="0" borderId="0" xfId="0" applyNumberFormat="1" applyFont="1"/>
    <xf numFmtId="39" fontId="1" fillId="0" borderId="0" xfId="0" applyNumberFormat="1" applyFont="1"/>
    <xf numFmtId="7" fontId="3" fillId="0" borderId="0" xfId="2" applyNumberFormat="1" applyFont="1"/>
    <xf numFmtId="9" fontId="3" fillId="0" borderId="0" xfId="0" applyNumberFormat="1" applyFont="1"/>
    <xf numFmtId="0" fontId="0" fillId="0" borderId="0" xfId="0" applyAlignment="1">
      <alignment horizontal="left" vertical="center"/>
    </xf>
    <xf numFmtId="9" fontId="0" fillId="0" borderId="0" xfId="1" applyFont="1"/>
    <xf numFmtId="165" fontId="1" fillId="0" borderId="0" xfId="0" applyNumberFormat="1" applyFont="1"/>
    <xf numFmtId="168" fontId="1" fillId="0" borderId="0" xfId="0" applyNumberFormat="1" applyFont="1"/>
    <xf numFmtId="14" fontId="2" fillId="0" borderId="0" xfId="0" applyNumberFormat="1" applyFont="1"/>
    <xf numFmtId="0" fontId="1" fillId="0" borderId="2" xfId="0" applyFont="1" applyBorder="1"/>
    <xf numFmtId="3" fontId="1" fillId="0" borderId="0" xfId="0" applyNumberFormat="1" applyFont="1"/>
    <xf numFmtId="170" fontId="0" fillId="0" borderId="0" xfId="0" applyNumberFormat="1"/>
    <xf numFmtId="169" fontId="0" fillId="0" borderId="0" xfId="1" applyNumberFormat="1" applyFont="1"/>
    <xf numFmtId="3" fontId="0" fillId="0" borderId="0" xfId="0" applyNumberFormat="1" applyFont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7" fontId="1" fillId="0" borderId="0" xfId="1" applyNumberFormat="1" applyFont="1"/>
    <xf numFmtId="0" fontId="1" fillId="0" borderId="0" xfId="0" applyFont="1" applyBorder="1"/>
    <xf numFmtId="0" fontId="0" fillId="0" borderId="0" xfId="0" applyAlignment="1">
      <alignment horizontal="left" indent="1"/>
    </xf>
    <xf numFmtId="171" fontId="1" fillId="0" borderId="0" xfId="0" applyNumberFormat="1" applyFont="1"/>
    <xf numFmtId="171" fontId="0" fillId="0" borderId="0" xfId="0" applyNumberFormat="1" applyFont="1"/>
    <xf numFmtId="0" fontId="0" fillId="0" borderId="0" xfId="1" applyNumberFormat="1" applyFont="1"/>
    <xf numFmtId="171" fontId="3" fillId="0" borderId="0" xfId="0" applyNumberFormat="1" applyFont="1"/>
    <xf numFmtId="0" fontId="0" fillId="0" borderId="7" xfId="0" applyBorder="1"/>
    <xf numFmtId="9" fontId="1" fillId="0" borderId="0" xfId="1" applyFont="1"/>
    <xf numFmtId="167" fontId="4" fillId="0" borderId="0" xfId="1" applyNumberFormat="1" applyFont="1"/>
    <xf numFmtId="167" fontId="4" fillId="0" borderId="0" xfId="1" applyNumberFormat="1" applyFont="1" applyFill="1"/>
    <xf numFmtId="172" fontId="0" fillId="0" borderId="0" xfId="0" applyNumberFormat="1" applyFont="1"/>
    <xf numFmtId="172" fontId="3" fillId="0" borderId="0" xfId="0" applyNumberFormat="1" applyFont="1"/>
    <xf numFmtId="0" fontId="1" fillId="0" borderId="13" xfId="0" applyFont="1" applyBorder="1"/>
    <xf numFmtId="171" fontId="0" fillId="0" borderId="4" xfId="0" applyNumberFormat="1" applyFont="1" applyBorder="1"/>
    <xf numFmtId="171" fontId="0" fillId="0" borderId="0" xfId="0" applyNumberFormat="1" applyFont="1" applyBorder="1"/>
    <xf numFmtId="173" fontId="0" fillId="0" borderId="13" xfId="0" applyNumberFormat="1" applyBorder="1"/>
    <xf numFmtId="173" fontId="6" fillId="0" borderId="13" xfId="0" applyNumberFormat="1" applyFont="1" applyBorder="1"/>
    <xf numFmtId="173" fontId="6" fillId="0" borderId="0" xfId="0" applyNumberFormat="1" applyFont="1"/>
    <xf numFmtId="0" fontId="0" fillId="0" borderId="0" xfId="1" applyNumberFormat="1" applyFont="1" applyFill="1"/>
    <xf numFmtId="37" fontId="1" fillId="0" borderId="0" xfId="1" applyNumberFormat="1" applyFont="1" applyFill="1"/>
    <xf numFmtId="167" fontId="5" fillId="0" borderId="0" xfId="1" applyNumberFormat="1" applyFont="1"/>
    <xf numFmtId="0" fontId="0" fillId="0" borderId="14" xfId="1" applyNumberFormat="1" applyFont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 indent="1"/>
    </xf>
    <xf numFmtId="0" fontId="1" fillId="0" borderId="0" xfId="0" applyFont="1" applyFill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37" fontId="1" fillId="0" borderId="2" xfId="0" applyNumberFormat="1" applyFont="1" applyFill="1" applyBorder="1" applyAlignment="1">
      <alignment horizontal="center"/>
    </xf>
    <xf numFmtId="164" fontId="3" fillId="3" borderId="0" xfId="0" applyNumberFormat="1" applyFont="1" applyFill="1"/>
    <xf numFmtId="8" fontId="0" fillId="0" borderId="0" xfId="0" applyNumberFormat="1"/>
    <xf numFmtId="0" fontId="0" fillId="0" borderId="0" xfId="0" applyNumberFormat="1"/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F142-7E7A-49A5-8C87-501CE401DDD0}">
  <dimension ref="C1:X515"/>
  <sheetViews>
    <sheetView tabSelected="1" topLeftCell="A60" zoomScaleNormal="100" workbookViewId="0">
      <selection activeCell="G111" sqref="G111"/>
    </sheetView>
  </sheetViews>
  <sheetFormatPr defaultRowHeight="15" x14ac:dyDescent="0.25"/>
  <cols>
    <col min="1" max="2" width="1.7109375" customWidth="1"/>
    <col min="3" max="3" width="53.5703125" customWidth="1"/>
    <col min="4" max="11" width="12.5703125" customWidth="1"/>
    <col min="12" max="12" width="6.140625" bestFit="1" customWidth="1"/>
    <col min="15" max="15" width="11.140625" bestFit="1" customWidth="1"/>
    <col min="16" max="16" width="10.140625" bestFit="1" customWidth="1"/>
    <col min="18" max="18" width="13.5703125" bestFit="1" customWidth="1"/>
    <col min="19" max="19" width="9.85546875" bestFit="1" customWidth="1"/>
    <col min="20" max="20" width="14.5703125" bestFit="1" customWidth="1"/>
    <col min="22" max="22" width="9.85546875" bestFit="1" customWidth="1"/>
  </cols>
  <sheetData>
    <row r="1" spans="3:17" ht="15.75" thickBot="1" x14ac:dyDescent="0.3"/>
    <row r="2" spans="3:17" ht="15.75" thickBot="1" x14ac:dyDescent="0.3">
      <c r="C2" s="3" t="str">
        <f>"Financial Statement Model for "&amp;D5</f>
        <v>Financial Statement Model for Apple</v>
      </c>
      <c r="D2" s="1"/>
      <c r="E2" s="1"/>
      <c r="F2" s="1"/>
      <c r="G2" s="1"/>
      <c r="H2" s="1"/>
    </row>
    <row r="3" spans="3:17" x14ac:dyDescent="0.25">
      <c r="C3" s="2" t="s">
        <v>0</v>
      </c>
    </row>
    <row r="5" spans="3:17" x14ac:dyDescent="0.25">
      <c r="C5" t="s">
        <v>1</v>
      </c>
      <c r="D5" s="114" t="s">
        <v>8</v>
      </c>
    </row>
    <row r="6" spans="3:17" x14ac:dyDescent="0.25">
      <c r="C6" t="s">
        <v>2</v>
      </c>
      <c r="D6" s="114" t="s">
        <v>9</v>
      </c>
    </row>
    <row r="7" spans="3:17" x14ac:dyDescent="0.25">
      <c r="C7" s="4" t="s">
        <v>3</v>
      </c>
      <c r="D7" s="50">
        <v>1</v>
      </c>
    </row>
    <row r="8" spans="3:17" x14ac:dyDescent="0.25">
      <c r="C8" s="4" t="s">
        <v>4</v>
      </c>
      <c r="D8" s="6">
        <v>272.52</v>
      </c>
    </row>
    <row r="9" spans="3:17" x14ac:dyDescent="0.25">
      <c r="C9" s="4" t="s">
        <v>5</v>
      </c>
      <c r="D9" s="7">
        <v>46008</v>
      </c>
    </row>
    <row r="10" spans="3:17" x14ac:dyDescent="0.25">
      <c r="C10" s="4" t="s">
        <v>6</v>
      </c>
      <c r="D10" s="7">
        <v>45927</v>
      </c>
      <c r="Q10" s="28"/>
    </row>
    <row r="11" spans="3:17" x14ac:dyDescent="0.25">
      <c r="C11" s="4" t="s">
        <v>7</v>
      </c>
      <c r="D11" s="8">
        <v>14776353000</v>
      </c>
    </row>
    <row r="12" spans="3:17" x14ac:dyDescent="0.25">
      <c r="C12" s="4" t="s">
        <v>128</v>
      </c>
      <c r="D12" s="127" t="s">
        <v>125</v>
      </c>
    </row>
    <row r="13" spans="3:17" x14ac:dyDescent="0.25">
      <c r="J13" s="16"/>
    </row>
    <row r="14" spans="3:17" x14ac:dyDescent="0.25">
      <c r="C14" s="5" t="s">
        <v>10</v>
      </c>
    </row>
    <row r="15" spans="3:17" x14ac:dyDescent="0.25">
      <c r="C15" s="9" t="s">
        <v>11</v>
      </c>
      <c r="D15" s="10">
        <f>E15-1</f>
        <v>2023</v>
      </c>
      <c r="E15" s="10">
        <f>F15-1</f>
        <v>2024</v>
      </c>
      <c r="F15" s="10">
        <f>YEAR(D9)</f>
        <v>2025</v>
      </c>
      <c r="G15" s="23">
        <f>F15+1</f>
        <v>2026</v>
      </c>
      <c r="H15" s="23">
        <f>G15+1</f>
        <v>2027</v>
      </c>
      <c r="I15" s="23">
        <f>H15+1</f>
        <v>2028</v>
      </c>
      <c r="J15" s="23">
        <f>I15+1</f>
        <v>2029</v>
      </c>
      <c r="K15" s="23">
        <f>J15+1</f>
        <v>2030</v>
      </c>
      <c r="M15" s="89" t="s">
        <v>159</v>
      </c>
    </row>
    <row r="16" spans="3:17" x14ac:dyDescent="0.25">
      <c r="C16" s="11" t="s">
        <v>12</v>
      </c>
      <c r="D16" s="12">
        <f>EOMONTH(E16,-12)</f>
        <v>45199</v>
      </c>
      <c r="E16" s="12">
        <f>EOMONTH(F16,-12)</f>
        <v>45565</v>
      </c>
      <c r="F16" s="12">
        <f>D10</f>
        <v>45927</v>
      </c>
      <c r="G16" s="12">
        <f>EOMONTH(F16,12)</f>
        <v>46295</v>
      </c>
      <c r="H16" s="12">
        <f>EOMONTH(G16,12)</f>
        <v>46660</v>
      </c>
      <c r="I16" s="12">
        <f>EOMONTH(H16,12)</f>
        <v>47026</v>
      </c>
      <c r="J16" s="12">
        <f>EOMONTH(I16,12)</f>
        <v>47391</v>
      </c>
      <c r="K16" s="12">
        <f>EOMONTH(J16,12)</f>
        <v>47756</v>
      </c>
      <c r="L16" s="25"/>
      <c r="M16" s="90" t="s">
        <v>160</v>
      </c>
      <c r="N16" s="25"/>
      <c r="O16" s="25"/>
      <c r="P16" s="25"/>
      <c r="Q16" s="25"/>
    </row>
    <row r="17" spans="3:18" x14ac:dyDescent="0.25">
      <c r="I17" s="14"/>
      <c r="J17" s="14"/>
      <c r="K17" s="14"/>
    </row>
    <row r="18" spans="3:18" x14ac:dyDescent="0.25">
      <c r="C18" t="s">
        <v>13</v>
      </c>
      <c r="D18" s="15">
        <v>383285</v>
      </c>
      <c r="E18" s="15">
        <v>391035</v>
      </c>
      <c r="F18" s="15">
        <v>416161</v>
      </c>
      <c r="G18" s="32">
        <f ca="1">F18*(1+G35)</f>
        <v>438217.533</v>
      </c>
      <c r="H18" s="32">
        <f ca="1">G18*(1+H35)</f>
        <v>464510.58498000004</v>
      </c>
      <c r="I18" s="32">
        <f ca="1">H18*(1+I35)</f>
        <v>493310.24124876008</v>
      </c>
      <c r="J18" s="32">
        <f ca="1">I18*(1+J35)</f>
        <v>525375.40692992951</v>
      </c>
      <c r="K18" s="32">
        <f ca="1">J18*(1+K35)</f>
        <v>561626.31000809465</v>
      </c>
      <c r="L18" s="17"/>
      <c r="M18" s="20">
        <f ca="1">(K18/F18)^(1/COUNT(G18:K18))-1</f>
        <v>6.1786534223683853E-2</v>
      </c>
      <c r="N18" s="17"/>
      <c r="O18" s="17"/>
      <c r="P18" s="17"/>
      <c r="Q18" s="17"/>
      <c r="R18" s="17"/>
    </row>
    <row r="19" spans="3:18" x14ac:dyDescent="0.25">
      <c r="C19" t="s">
        <v>14</v>
      </c>
      <c r="D19" s="15">
        <v>-214137</v>
      </c>
      <c r="E19" s="15">
        <v>-210352</v>
      </c>
      <c r="F19" s="15">
        <v>-220960</v>
      </c>
      <c r="G19" s="32">
        <f ca="1">-(1-G36)*G18</f>
        <v>-239266.77301800001</v>
      </c>
      <c r="H19" s="32">
        <f ca="1">-(1-H36)*H18</f>
        <v>-248513.16296429999</v>
      </c>
      <c r="I19" s="32">
        <f ca="1">-(1-I36)*I18</f>
        <v>-265400.90979183296</v>
      </c>
      <c r="J19" s="32">
        <f ca="1">-(1-J36)*J18</f>
        <v>-282651.96892830211</v>
      </c>
      <c r="K19" s="32">
        <f ca="1">-(1-K36)*K18</f>
        <v>-302154.95478435495</v>
      </c>
      <c r="M19" s="17"/>
    </row>
    <row r="20" spans="3:18" x14ac:dyDescent="0.25">
      <c r="C20" s="5" t="s">
        <v>15</v>
      </c>
      <c r="D20" s="18">
        <f t="shared" ref="D20:K20" si="0">SUM(D18:D19)</f>
        <v>169148</v>
      </c>
      <c r="E20" s="18">
        <f t="shared" si="0"/>
        <v>180683</v>
      </c>
      <c r="F20" s="18">
        <f t="shared" si="0"/>
        <v>195201</v>
      </c>
      <c r="G20" s="39">
        <f t="shared" ca="1" si="0"/>
        <v>198950.75998199999</v>
      </c>
      <c r="H20" s="39">
        <f t="shared" ca="1" si="0"/>
        <v>215997.42201570005</v>
      </c>
      <c r="I20" s="39">
        <f t="shared" ca="1" si="0"/>
        <v>227909.33145692712</v>
      </c>
      <c r="J20" s="39">
        <f t="shared" ca="1" si="0"/>
        <v>242723.43800162739</v>
      </c>
      <c r="K20" s="39">
        <f t="shared" ca="1" si="0"/>
        <v>259471.35522373969</v>
      </c>
      <c r="M20" s="17"/>
      <c r="R20" s="32">
        <v>400000000</v>
      </c>
    </row>
    <row r="21" spans="3:18" x14ac:dyDescent="0.25">
      <c r="C21" t="s">
        <v>16</v>
      </c>
      <c r="D21" s="15">
        <v>-29915</v>
      </c>
      <c r="E21" s="15">
        <v>-31370</v>
      </c>
      <c r="F21" s="15">
        <v>-34550</v>
      </c>
      <c r="G21" s="32">
        <f ca="1">-G37*G18</f>
        <v>-28484.139644999999</v>
      </c>
      <c r="H21" s="32">
        <f ca="1">-H37*H18</f>
        <v>-30193.188023700004</v>
      </c>
      <c r="I21" s="32">
        <f ca="1">-I37*I18</f>
        <v>-32065.165681169405</v>
      </c>
      <c r="J21" s="32">
        <f ca="1">-J37*J18</f>
        <v>-34149.401450445417</v>
      </c>
      <c r="K21" s="32">
        <f ca="1">-K37*K18</f>
        <v>-36505.710150526153</v>
      </c>
      <c r="M21" s="17"/>
      <c r="R21" s="32">
        <v>600000000</v>
      </c>
    </row>
    <row r="22" spans="3:18" x14ac:dyDescent="0.25">
      <c r="C22" t="s">
        <v>17</v>
      </c>
      <c r="D22" s="15">
        <v>-24932</v>
      </c>
      <c r="E22" s="15">
        <v>-26097</v>
      </c>
      <c r="F22" s="15">
        <v>-27601</v>
      </c>
      <c r="G22" s="32">
        <f ca="1">-G38*G18</f>
        <v>-43821.753300000004</v>
      </c>
      <c r="H22" s="32">
        <f ca="1">-H38*H18</f>
        <v>-46451.058498000006</v>
      </c>
      <c r="I22" s="32">
        <f ca="1">-I38*I18</f>
        <v>-49331.024124876014</v>
      </c>
      <c r="J22" s="32">
        <f ca="1">-J38*J18</f>
        <v>-52537.540692992952</v>
      </c>
      <c r="K22" s="32">
        <f ca="1">-K38*K18</f>
        <v>-56162.631000809466</v>
      </c>
      <c r="M22" s="17"/>
      <c r="R22" s="32">
        <v>4000000000</v>
      </c>
    </row>
    <row r="23" spans="3:18" x14ac:dyDescent="0.25">
      <c r="C23" s="5" t="s">
        <v>18</v>
      </c>
      <c r="D23" s="18">
        <f t="shared" ref="D23:K23" si="1">SUM(D20:D22)</f>
        <v>114301</v>
      </c>
      <c r="E23" s="18">
        <f t="shared" si="1"/>
        <v>123216</v>
      </c>
      <c r="F23" s="18">
        <f t="shared" si="1"/>
        <v>133050</v>
      </c>
      <c r="G23" s="39">
        <f t="shared" ca="1" si="1"/>
        <v>126644.86703699999</v>
      </c>
      <c r="H23" s="39">
        <f t="shared" ca="1" si="1"/>
        <v>139353.17549400005</v>
      </c>
      <c r="I23" s="39">
        <f t="shared" ca="1" si="1"/>
        <v>146513.14165088171</v>
      </c>
      <c r="J23" s="39">
        <f t="shared" ca="1" si="1"/>
        <v>156036.49585818904</v>
      </c>
      <c r="K23" s="39">
        <f t="shared" ca="1" si="1"/>
        <v>166803.0140724041</v>
      </c>
      <c r="M23" s="91">
        <f ca="1">(K23/F23)^(1/COUNT(G23:K23))-1</f>
        <v>4.6255618002688959E-2</v>
      </c>
    </row>
    <row r="24" spans="3:18" x14ac:dyDescent="0.25">
      <c r="C24" t="s">
        <v>22</v>
      </c>
      <c r="D24" s="15">
        <v>-565</v>
      </c>
      <c r="E24" s="15">
        <v>-269</v>
      </c>
      <c r="F24" s="15">
        <v>-321</v>
      </c>
      <c r="G24" s="32">
        <f>F24</f>
        <v>-321</v>
      </c>
      <c r="H24" s="32">
        <f>G24</f>
        <v>-321</v>
      </c>
      <c r="I24" s="32">
        <f>H24</f>
        <v>-321</v>
      </c>
      <c r="J24" s="32">
        <f>I24</f>
        <v>-321</v>
      </c>
      <c r="K24" s="32">
        <f>J24</f>
        <v>-321</v>
      </c>
      <c r="M24" s="17"/>
      <c r="R24" s="32">
        <f>R22/66</f>
        <v>60606060.606060609</v>
      </c>
    </row>
    <row r="25" spans="3:18" x14ac:dyDescent="0.25">
      <c r="C25" s="5" t="s">
        <v>19</v>
      </c>
      <c r="D25" s="18">
        <f t="shared" ref="D25:K25" si="2">SUM(D23:D24)</f>
        <v>113736</v>
      </c>
      <c r="E25" s="18">
        <f t="shared" si="2"/>
        <v>122947</v>
      </c>
      <c r="F25" s="18">
        <f t="shared" si="2"/>
        <v>132729</v>
      </c>
      <c r="G25" s="39">
        <f t="shared" ca="1" si="2"/>
        <v>126323.86703699999</v>
      </c>
      <c r="H25" s="39">
        <f t="shared" ca="1" si="2"/>
        <v>139032.17549400005</v>
      </c>
      <c r="I25" s="39">
        <f t="shared" ca="1" si="2"/>
        <v>146192.14165088171</v>
      </c>
      <c r="J25" s="39">
        <f t="shared" ca="1" si="2"/>
        <v>155715.49585818904</v>
      </c>
      <c r="K25" s="39">
        <f t="shared" ca="1" si="2"/>
        <v>166482.0140724041</v>
      </c>
      <c r="M25" s="17"/>
    </row>
    <row r="26" spans="3:18" x14ac:dyDescent="0.25">
      <c r="C26" t="s">
        <v>20</v>
      </c>
      <c r="D26" s="15">
        <v>-16741</v>
      </c>
      <c r="E26" s="15">
        <v>-29749</v>
      </c>
      <c r="F26" s="15">
        <v>-20719</v>
      </c>
      <c r="G26" s="32">
        <f ca="1">-G39*G25</f>
        <v>-20085.494858882998</v>
      </c>
      <c r="H26" s="32">
        <f ca="1">-H39*H25</f>
        <v>-22245.148079040009</v>
      </c>
      <c r="I26" s="32">
        <f ca="1">-I39*I25</f>
        <v>-23244.55052249019</v>
      </c>
      <c r="J26" s="32">
        <f ca="1">-J39*J25</f>
        <v>-24914.479337310248</v>
      </c>
      <c r="K26" s="32">
        <f ca="1">-K39*K25</f>
        <v>-26637.122251584657</v>
      </c>
    </row>
    <row r="27" spans="3:18" x14ac:dyDescent="0.25">
      <c r="C27" s="5" t="s">
        <v>21</v>
      </c>
      <c r="D27" s="18">
        <f t="shared" ref="D27:K27" si="3">SUM(D25:D26)</f>
        <v>96995</v>
      </c>
      <c r="E27" s="18">
        <f t="shared" si="3"/>
        <v>93198</v>
      </c>
      <c r="F27" s="18">
        <f t="shared" si="3"/>
        <v>112010</v>
      </c>
      <c r="G27" s="39">
        <f t="shared" ca="1" si="3"/>
        <v>106238.37217811699</v>
      </c>
      <c r="H27" s="39">
        <f t="shared" ca="1" si="3"/>
        <v>116787.02741496004</v>
      </c>
      <c r="I27" s="39">
        <f t="shared" ca="1" si="3"/>
        <v>122947.59112839152</v>
      </c>
      <c r="J27" s="39">
        <f t="shared" ca="1" si="3"/>
        <v>130801.01652087879</v>
      </c>
      <c r="K27" s="39">
        <f t="shared" ca="1" si="3"/>
        <v>139844.89182081944</v>
      </c>
      <c r="M27" s="91">
        <f ca="1">(K27/F27)^(1/COUNT(G27:K27))-1</f>
        <v>4.5389086780235344E-2</v>
      </c>
    </row>
    <row r="28" spans="3:18" x14ac:dyDescent="0.25">
      <c r="G28" s="40"/>
      <c r="H28" s="40"/>
      <c r="I28" s="40"/>
      <c r="J28" s="40"/>
      <c r="K28" s="40"/>
    </row>
    <row r="29" spans="3:18" x14ac:dyDescent="0.25">
      <c r="C29" s="4" t="s">
        <v>23</v>
      </c>
      <c r="D29" s="15">
        <v>11519</v>
      </c>
      <c r="E29" s="15">
        <v>11445</v>
      </c>
      <c r="F29" s="15">
        <v>11698</v>
      </c>
      <c r="G29" s="32">
        <f ca="1">G166</f>
        <v>8759.2352499999997</v>
      </c>
      <c r="H29" s="32">
        <f ca="1">H166</f>
        <v>9550.6439483333343</v>
      </c>
      <c r="I29" s="32">
        <f ca="1">I166</f>
        <v>10541.805585074446</v>
      </c>
      <c r="J29" s="32">
        <f ca="1">J166</f>
        <v>11730.419263382988</v>
      </c>
      <c r="K29" s="32">
        <f ca="1">K166</f>
        <v>13120.853714709887</v>
      </c>
    </row>
    <row r="30" spans="3:18" x14ac:dyDescent="0.25">
      <c r="C30" s="5" t="s">
        <v>24</v>
      </c>
      <c r="D30" s="18">
        <f t="shared" ref="D30:K30" si="4">D23+D29</f>
        <v>125820</v>
      </c>
      <c r="E30" s="18">
        <f t="shared" si="4"/>
        <v>134661</v>
      </c>
      <c r="F30" s="18">
        <f t="shared" si="4"/>
        <v>144748</v>
      </c>
      <c r="G30" s="39">
        <f t="shared" ca="1" si="4"/>
        <v>135404.10228699999</v>
      </c>
      <c r="H30" s="39">
        <f t="shared" ca="1" si="4"/>
        <v>148903.81944233339</v>
      </c>
      <c r="I30" s="39">
        <f t="shared" ca="1" si="4"/>
        <v>157054.94723595615</v>
      </c>
      <c r="J30" s="39">
        <f t="shared" ca="1" si="4"/>
        <v>167766.91512157203</v>
      </c>
      <c r="K30" s="39">
        <f t="shared" ca="1" si="4"/>
        <v>179923.867787114</v>
      </c>
      <c r="M30" s="91">
        <f ca="1">(K30/F30)^(1/COUNT(G30:K30))-1</f>
        <v>4.4468246674974621E-2</v>
      </c>
    </row>
    <row r="31" spans="3:18" x14ac:dyDescent="0.25">
      <c r="C31" s="4" t="s">
        <v>25</v>
      </c>
      <c r="D31" s="15">
        <v>10833</v>
      </c>
      <c r="E31" s="15">
        <v>11688</v>
      </c>
      <c r="F31" s="15">
        <v>12863</v>
      </c>
      <c r="G31" s="32">
        <f ca="1">F31*(1+G35)</f>
        <v>13544.739</v>
      </c>
      <c r="H31" s="32">
        <f ca="1">G31*(1+H35)</f>
        <v>14357.423339999999</v>
      </c>
      <c r="I31" s="32">
        <f ca="1">H31*(1+I35)</f>
        <v>15247.58358708</v>
      </c>
      <c r="J31" s="32">
        <f ca="1">I31*(1+J35)</f>
        <v>16238.676520240198</v>
      </c>
      <c r="K31" s="32">
        <f ca="1">J31*(1+K35)</f>
        <v>17359.145200136772</v>
      </c>
      <c r="M31" s="17"/>
    </row>
    <row r="32" spans="3:18" x14ac:dyDescent="0.25">
      <c r="C32" s="5" t="s">
        <v>26</v>
      </c>
      <c r="D32" s="18">
        <f t="shared" ref="D32:K32" si="5">SUM(D29:D31)</f>
        <v>148172</v>
      </c>
      <c r="E32" s="18">
        <f t="shared" si="5"/>
        <v>157794</v>
      </c>
      <c r="F32" s="18">
        <f t="shared" si="5"/>
        <v>169309</v>
      </c>
      <c r="G32" s="39">
        <f t="shared" ca="1" si="5"/>
        <v>157708.07653699999</v>
      </c>
      <c r="H32" s="39">
        <f t="shared" ca="1" si="5"/>
        <v>172811.88673066674</v>
      </c>
      <c r="I32" s="39">
        <f t="shared" ca="1" si="5"/>
        <v>182844.3364081106</v>
      </c>
      <c r="J32" s="39">
        <f t="shared" ca="1" si="5"/>
        <v>195736.01090519523</v>
      </c>
      <c r="K32" s="39">
        <f t="shared" ca="1" si="5"/>
        <v>210403.86670196068</v>
      </c>
      <c r="M32" s="91">
        <f ca="1">(K32/F32)^(1/COUNT(G32:K32))-1</f>
        <v>4.441892919975543E-2</v>
      </c>
    </row>
    <row r="33" spans="3:20" x14ac:dyDescent="0.25">
      <c r="G33" s="40"/>
      <c r="H33" s="40"/>
      <c r="I33" s="40"/>
      <c r="J33" s="40"/>
      <c r="K33" s="40"/>
    </row>
    <row r="34" spans="3:20" x14ac:dyDescent="0.25">
      <c r="C34" s="19" t="s">
        <v>27</v>
      </c>
      <c r="G34" s="116" t="s">
        <v>59</v>
      </c>
      <c r="H34" s="116"/>
      <c r="I34" s="116"/>
      <c r="J34" s="116"/>
      <c r="K34" s="116"/>
    </row>
    <row r="35" spans="3:20" x14ac:dyDescent="0.25">
      <c r="C35" t="s">
        <v>28</v>
      </c>
      <c r="D35" s="20"/>
      <c r="E35" s="20">
        <f>IFERROR(E18/D18-1,0)</f>
        <v>2.021994077514111E-2</v>
      </c>
      <c r="F35" s="20">
        <f>IFERROR(F18/E18-1,0)</f>
        <v>6.425511782832749E-2</v>
      </c>
      <c r="G35" s="68">
        <f ca="1">G237</f>
        <v>5.2999999999999999E-2</v>
      </c>
      <c r="H35" s="68">
        <f t="shared" ref="H35:K35" ca="1" si="6">H237</f>
        <v>0.06</v>
      </c>
      <c r="I35" s="68">
        <f t="shared" ca="1" si="6"/>
        <v>6.2E-2</v>
      </c>
      <c r="J35" s="68">
        <f t="shared" ca="1" si="6"/>
        <v>6.5000000000000002E-2</v>
      </c>
      <c r="K35" s="68">
        <f t="shared" ca="1" si="6"/>
        <v>6.9000000000000006E-2</v>
      </c>
      <c r="S35" s="32">
        <v>5000000</v>
      </c>
      <c r="T35" s="32">
        <v>10000</v>
      </c>
    </row>
    <row r="36" spans="3:20" x14ac:dyDescent="0.25">
      <c r="C36" t="s">
        <v>29</v>
      </c>
      <c r="D36" s="20">
        <f>D20/D18</f>
        <v>0.44131129577207562</v>
      </c>
      <c r="E36" s="20">
        <f>E20/E18</f>
        <v>0.46206349815233932</v>
      </c>
      <c r="F36" s="20">
        <f>F20/F18</f>
        <v>0.46905164107160452</v>
      </c>
      <c r="G36" s="68">
        <f t="shared" ref="G36:K36" ca="1" si="7">G238</f>
        <v>0.45400000000000001</v>
      </c>
      <c r="H36" s="68">
        <f t="shared" ca="1" si="7"/>
        <v>0.46500000000000002</v>
      </c>
      <c r="I36" s="68">
        <f t="shared" ca="1" si="7"/>
        <v>0.46200000000000002</v>
      </c>
      <c r="J36" s="68">
        <f t="shared" ca="1" si="7"/>
        <v>0.46200000000000002</v>
      </c>
      <c r="K36" s="68">
        <f t="shared" ca="1" si="7"/>
        <v>0.46200000000000002</v>
      </c>
      <c r="T36" s="129">
        <v>-6500</v>
      </c>
    </row>
    <row r="37" spans="3:20" x14ac:dyDescent="0.25">
      <c r="C37" t="s">
        <v>30</v>
      </c>
      <c r="D37" s="20">
        <f>(D21/D18)*-1</f>
        <v>7.8048971392045086E-2</v>
      </c>
      <c r="E37" s="20">
        <f>(E21/E18)*-1</f>
        <v>8.0222997941360744E-2</v>
      </c>
      <c r="F37" s="20">
        <f>(F21/F18)*-1</f>
        <v>8.3020753987038676E-2</v>
      </c>
      <c r="G37" s="68">
        <f t="shared" ref="G37:K37" ca="1" si="8">G239</f>
        <v>6.5000000000000002E-2</v>
      </c>
      <c r="H37" s="68">
        <f t="shared" ca="1" si="8"/>
        <v>6.5000000000000002E-2</v>
      </c>
      <c r="I37" s="68">
        <f t="shared" ca="1" si="8"/>
        <v>6.5000000000000002E-2</v>
      </c>
      <c r="J37" s="68">
        <f t="shared" ca="1" si="8"/>
        <v>6.5000000000000002E-2</v>
      </c>
      <c r="K37" s="68">
        <f t="shared" ca="1" si="8"/>
        <v>6.5000000000000002E-2</v>
      </c>
      <c r="T37" s="32">
        <f>SUM(T35:T36)</f>
        <v>3500</v>
      </c>
    </row>
    <row r="38" spans="3:20" x14ac:dyDescent="0.25">
      <c r="C38" t="s">
        <v>31</v>
      </c>
      <c r="D38" s="20">
        <f>(D22/D18)*-1</f>
        <v>6.5048201729783317E-2</v>
      </c>
      <c r="E38" s="20">
        <f>(E22/E18)*-1</f>
        <v>6.6738271510222866E-2</v>
      </c>
      <c r="F38" s="20">
        <f>(F22/F18)*-1</f>
        <v>6.6322889458647019E-2</v>
      </c>
      <c r="G38" s="68">
        <f t="shared" ref="G38:K38" ca="1" si="9">G240</f>
        <v>0.1</v>
      </c>
      <c r="H38" s="68">
        <f t="shared" ca="1" si="9"/>
        <v>0.1</v>
      </c>
      <c r="I38" s="68">
        <f t="shared" ca="1" si="9"/>
        <v>0.1</v>
      </c>
      <c r="J38" s="68">
        <f t="shared" ca="1" si="9"/>
        <v>0.1</v>
      </c>
      <c r="K38" s="68">
        <f t="shared" ca="1" si="9"/>
        <v>0.1</v>
      </c>
      <c r="T38">
        <v>-2000</v>
      </c>
    </row>
    <row r="39" spans="3:20" x14ac:dyDescent="0.25">
      <c r="C39" t="s">
        <v>32</v>
      </c>
      <c r="D39" s="20">
        <f>(D26/D25)*-1</f>
        <v>0.14719174228036858</v>
      </c>
      <c r="E39" s="20">
        <f>(E26/E25)*-1</f>
        <v>0.24196605041196614</v>
      </c>
      <c r="F39" s="20">
        <f>(F26/F25)*-1</f>
        <v>0.15610002335586043</v>
      </c>
      <c r="G39" s="67">
        <v>0.159</v>
      </c>
      <c r="H39" s="67">
        <v>0.16</v>
      </c>
      <c r="I39" s="67">
        <v>0.159</v>
      </c>
      <c r="J39" s="67">
        <v>0.16</v>
      </c>
      <c r="K39" s="67">
        <v>0.16</v>
      </c>
      <c r="T39" s="129">
        <f>SUM(T37:T38)</f>
        <v>1500</v>
      </c>
    </row>
    <row r="40" spans="3:20" x14ac:dyDescent="0.25">
      <c r="G40" s="40"/>
      <c r="H40" s="40"/>
      <c r="I40" s="40"/>
      <c r="J40" s="40"/>
      <c r="K40" s="40"/>
      <c r="T40" s="80">
        <f>T39/T35</f>
        <v>0.15</v>
      </c>
    </row>
    <row r="41" spans="3:20" x14ac:dyDescent="0.25">
      <c r="C41" s="5" t="s">
        <v>60</v>
      </c>
      <c r="G41" s="40"/>
      <c r="H41" s="40"/>
      <c r="I41" s="40"/>
      <c r="J41" s="40"/>
      <c r="K41" s="40"/>
    </row>
    <row r="42" spans="3:20" x14ac:dyDescent="0.25">
      <c r="C42" s="9" t="s">
        <v>11</v>
      </c>
      <c r="D42" s="10"/>
      <c r="E42" s="10">
        <f>F42-1</f>
        <v>2024</v>
      </c>
      <c r="F42" s="10">
        <v>2025</v>
      </c>
      <c r="G42" s="43">
        <f>F42+1</f>
        <v>2026</v>
      </c>
      <c r="H42" s="43">
        <f>G42+1</f>
        <v>2027</v>
      </c>
      <c r="I42" s="43">
        <f>H42+1</f>
        <v>2028</v>
      </c>
      <c r="J42" s="43">
        <f>I42+1</f>
        <v>2029</v>
      </c>
      <c r="K42" s="43">
        <f>J42+1</f>
        <v>2030</v>
      </c>
    </row>
    <row r="43" spans="3:20" x14ac:dyDescent="0.25">
      <c r="C43" s="11" t="s">
        <v>12</v>
      </c>
      <c r="D43" s="12"/>
      <c r="E43" s="12">
        <f>EOMONTH(F43,-12)</f>
        <v>45565</v>
      </c>
      <c r="F43" s="12">
        <f>F16</f>
        <v>45927</v>
      </c>
      <c r="G43" s="44">
        <f>EOMONTH(F43,12)</f>
        <v>46295</v>
      </c>
      <c r="H43" s="44">
        <f>EOMONTH(G43,12)</f>
        <v>46660</v>
      </c>
      <c r="I43" s="44">
        <f>EOMONTH(H43,12)</f>
        <v>47026</v>
      </c>
      <c r="J43" s="44">
        <f>EOMONTH(I43,12)</f>
        <v>47391</v>
      </c>
      <c r="K43" s="44">
        <f>EOMONTH(J43,12)</f>
        <v>47756</v>
      </c>
      <c r="S43" s="17"/>
    </row>
    <row r="44" spans="3:20" x14ac:dyDescent="0.25">
      <c r="C44" s="21" t="s">
        <v>33</v>
      </c>
      <c r="E44" s="15">
        <f>29943+35228+91479</f>
        <v>156650</v>
      </c>
      <c r="F44" s="15">
        <f>35934+18763+77723</f>
        <v>132420</v>
      </c>
      <c r="G44" s="32">
        <f ca="1">F44+G90</f>
        <v>129327.19879304199</v>
      </c>
      <c r="H44" s="32">
        <f ca="1">G44+H90</f>
        <v>156563.71455078907</v>
      </c>
      <c r="I44" s="32">
        <f ca="1">H44+I90</f>
        <v>169860.40123069281</v>
      </c>
      <c r="J44" s="32">
        <f ca="1">I44+J90</f>
        <v>214430.50065559102</v>
      </c>
      <c r="K44" s="32">
        <f ca="1">J44+K90</f>
        <v>246228.15586802561</v>
      </c>
    </row>
    <row r="45" spans="3:20" x14ac:dyDescent="0.25">
      <c r="C45" t="s">
        <v>34</v>
      </c>
      <c r="E45" s="15">
        <v>33410</v>
      </c>
      <c r="F45" s="15">
        <v>39777</v>
      </c>
      <c r="G45" s="32">
        <f ca="1">G99</f>
        <v>51468.294542465752</v>
      </c>
      <c r="H45" s="32">
        <f t="shared" ref="H45:K45" ca="1" si="10">H99</f>
        <v>45251.717672547951</v>
      </c>
      <c r="I45" s="32">
        <f t="shared" ca="1" si="10"/>
        <v>57464.93529979662</v>
      </c>
      <c r="J45" s="32">
        <f t="shared" ca="1" si="10"/>
        <v>51928.300115750346</v>
      </c>
      <c r="K45" s="32">
        <f t="shared" ca="1" si="10"/>
        <v>65013.068543469373</v>
      </c>
    </row>
    <row r="46" spans="3:20" x14ac:dyDescent="0.25">
      <c r="C46" t="s">
        <v>35</v>
      </c>
      <c r="E46" s="15">
        <v>7286</v>
      </c>
      <c r="F46" s="15">
        <v>5718</v>
      </c>
      <c r="G46" s="32">
        <f ca="1">G111</f>
        <v>7954.3870296000005</v>
      </c>
      <c r="H46" s="32">
        <f t="shared" ref="H46:K46" ca="1" si="11">H111</f>
        <v>5851.8998017499998</v>
      </c>
      <c r="I46" s="32">
        <f t="shared" ca="1" si="11"/>
        <v>8494.0953221328637</v>
      </c>
      <c r="J46" s="32">
        <f t="shared" ca="1" si="11"/>
        <v>6382.3240951461958</v>
      </c>
      <c r="K46" s="32">
        <f t="shared" ca="1" si="11"/>
        <v>9112.8017912309806</v>
      </c>
      <c r="R46" s="17"/>
    </row>
    <row r="47" spans="3:20" x14ac:dyDescent="0.25">
      <c r="C47" t="s">
        <v>183</v>
      </c>
      <c r="E47" s="15">
        <v>32833</v>
      </c>
      <c r="F47" s="15">
        <v>33180</v>
      </c>
      <c r="G47" s="32">
        <f ca="1">F47*(1+G35)</f>
        <v>34938.54</v>
      </c>
      <c r="H47" s="32">
        <f t="shared" ref="H47:K47" ca="1" si="12">G47*(1+H35)</f>
        <v>37034.852400000003</v>
      </c>
      <c r="I47" s="32">
        <f t="shared" ca="1" si="12"/>
        <v>39331.013248800009</v>
      </c>
      <c r="J47" s="32">
        <f t="shared" ca="1" si="12"/>
        <v>41887.529109972005</v>
      </c>
      <c r="K47" s="32">
        <f t="shared" ca="1" si="12"/>
        <v>44777.768618560069</v>
      </c>
    </row>
    <row r="48" spans="3:20" x14ac:dyDescent="0.25">
      <c r="C48" t="s">
        <v>36</v>
      </c>
      <c r="E48" s="15">
        <v>14287</v>
      </c>
      <c r="F48" s="15">
        <v>14585</v>
      </c>
      <c r="G48" s="32">
        <f ca="1">F48*(1+G35)</f>
        <v>15358.004999999999</v>
      </c>
      <c r="H48" s="32">
        <f ca="1">G48*(1+H35)</f>
        <v>16279.4853</v>
      </c>
      <c r="I48" s="32">
        <f ca="1">H48*(1+I35)</f>
        <v>17288.8133886</v>
      </c>
      <c r="J48" s="32">
        <f ca="1">I48*(1+J35)</f>
        <v>18412.586258858999</v>
      </c>
      <c r="K48" s="32">
        <f ca="1">J48*(1+K35)</f>
        <v>19683.054710720269</v>
      </c>
    </row>
    <row r="49" spans="3:18" x14ac:dyDescent="0.25">
      <c r="C49" t="s">
        <v>38</v>
      </c>
      <c r="E49" s="15">
        <v>45680</v>
      </c>
      <c r="F49" s="15">
        <v>49834</v>
      </c>
      <c r="G49" s="32">
        <f ca="1">G138</f>
        <v>58357.653749999998</v>
      </c>
      <c r="H49" s="32">
        <f ca="1">H138</f>
        <v>67126.872141666667</v>
      </c>
      <c r="I49" s="32">
        <f ca="1">I138</f>
        <v>76040.760361672219</v>
      </c>
      <c r="J49" s="32">
        <f ca="1">J138</f>
        <v>85030.655000699437</v>
      </c>
      <c r="K49" s="32">
        <f ca="1">K138</f>
        <v>94059.81684766605</v>
      </c>
    </row>
    <row r="50" spans="3:18" x14ac:dyDescent="0.25">
      <c r="C50" t="s">
        <v>37</v>
      </c>
      <c r="E50" s="15">
        <v>74834</v>
      </c>
      <c r="F50" s="15">
        <v>83727</v>
      </c>
      <c r="G50" s="32">
        <f ca="1">F50*(1+G35)</f>
        <v>88164.530999999988</v>
      </c>
      <c r="H50" s="32">
        <f ca="1">G50*(1+H35)</f>
        <v>93454.402859999987</v>
      </c>
      <c r="I50" s="32">
        <f ca="1">H50*(1+I35)</f>
        <v>99248.575837319993</v>
      </c>
      <c r="J50" s="32">
        <f ca="1">I50*(1+J35)</f>
        <v>105699.73326674578</v>
      </c>
      <c r="K50" s="32">
        <f ca="1">J50*(1+K35)</f>
        <v>112993.01486215123</v>
      </c>
    </row>
    <row r="51" spans="3:18" x14ac:dyDescent="0.25">
      <c r="C51" s="5" t="s">
        <v>39</v>
      </c>
      <c r="E51" s="18">
        <f t="shared" ref="E51:K51" si="13">SUM(E44:E50)</f>
        <v>364980</v>
      </c>
      <c r="F51" s="18">
        <f t="shared" si="13"/>
        <v>359241</v>
      </c>
      <c r="G51" s="39">
        <f t="shared" ca="1" si="13"/>
        <v>385568.61011510773</v>
      </c>
      <c r="H51" s="39">
        <f t="shared" ca="1" si="13"/>
        <v>421562.94472675363</v>
      </c>
      <c r="I51" s="39">
        <f t="shared" ca="1" si="13"/>
        <v>467728.59468901454</v>
      </c>
      <c r="J51" s="39">
        <f t="shared" ca="1" si="13"/>
        <v>523771.62850276381</v>
      </c>
      <c r="K51" s="39">
        <f t="shared" ca="1" si="13"/>
        <v>591867.68124182359</v>
      </c>
    </row>
    <row r="52" spans="3:18" x14ac:dyDescent="0.25">
      <c r="G52" s="40"/>
      <c r="H52" s="40"/>
      <c r="I52" s="40"/>
      <c r="J52" s="40"/>
      <c r="K52" s="40"/>
    </row>
    <row r="53" spans="3:18" x14ac:dyDescent="0.25">
      <c r="C53" t="s">
        <v>40</v>
      </c>
      <c r="E53" s="15">
        <v>68960</v>
      </c>
      <c r="F53" s="15">
        <v>69860</v>
      </c>
      <c r="G53" s="45">
        <f ca="1">F53*G19/F19</f>
        <v>75647.97593699077</v>
      </c>
      <c r="H53" s="45">
        <f ca="1">G53*H19/G19</f>
        <v>78571.368413676668</v>
      </c>
      <c r="I53" s="45">
        <f ca="1">H53*I19/H19</f>
        <v>83910.696768905909</v>
      </c>
      <c r="J53" s="45">
        <f ca="1">I53*J19/I19</f>
        <v>89364.892058884783</v>
      </c>
      <c r="K53" s="45">
        <f ca="1">J53*K19/J19</f>
        <v>95531.06961094783</v>
      </c>
      <c r="R53" s="17"/>
    </row>
    <row r="54" spans="3:18" x14ac:dyDescent="0.25">
      <c r="C54" t="s">
        <v>41</v>
      </c>
      <c r="E54" s="15">
        <v>78304</v>
      </c>
      <c r="F54" s="15">
        <v>66387</v>
      </c>
      <c r="G54" s="45">
        <f ca="1">F54*(1+G35)</f>
        <v>69905.510999999999</v>
      </c>
      <c r="H54" s="45">
        <f ca="1">G54*(1+H35)</f>
        <v>74099.841660000006</v>
      </c>
      <c r="I54" s="45">
        <f ca="1">H54*(1+I35)</f>
        <v>78694.031842920012</v>
      </c>
      <c r="J54" s="45">
        <f ca="1">I54*(1+J35)</f>
        <v>83809.143912709813</v>
      </c>
      <c r="K54" s="45">
        <f ca="1">J54*(1+K35)</f>
        <v>89591.974842686788</v>
      </c>
    </row>
    <row r="55" spans="3:18" x14ac:dyDescent="0.25">
      <c r="C55" t="s">
        <v>43</v>
      </c>
      <c r="E55" s="15">
        <v>8249</v>
      </c>
      <c r="F55" s="15">
        <v>9055</v>
      </c>
      <c r="G55" s="45">
        <f ca="1">F55*(1+G35)</f>
        <v>9534.9149999999991</v>
      </c>
      <c r="H55" s="45">
        <f ca="1">G55*(1+H35)</f>
        <v>10107.009899999999</v>
      </c>
      <c r="I55" s="45">
        <f ca="1">H55*(1+I35)</f>
        <v>10733.6445138</v>
      </c>
      <c r="J55" s="45">
        <f ca="1">I55*(1+J35)</f>
        <v>11431.331407197</v>
      </c>
      <c r="K55" s="45">
        <f ca="1">J55*(1+K35)</f>
        <v>12220.093274293593</v>
      </c>
    </row>
    <row r="56" spans="3:18" x14ac:dyDescent="0.25">
      <c r="C56" t="s">
        <v>44</v>
      </c>
      <c r="E56" s="15">
        <v>9967</v>
      </c>
      <c r="F56" s="15">
        <v>7979</v>
      </c>
      <c r="G56" s="32">
        <f ca="1">G198</f>
        <v>8000</v>
      </c>
      <c r="H56" s="32">
        <f t="shared" ref="H56:K56" ca="1" si="14">H198</f>
        <v>8000</v>
      </c>
      <c r="I56" s="32">
        <f t="shared" ca="1" si="14"/>
        <v>8000</v>
      </c>
      <c r="J56" s="32">
        <f t="shared" ca="1" si="14"/>
        <v>8000</v>
      </c>
      <c r="K56" s="32">
        <f t="shared" ca="1" si="14"/>
        <v>8000</v>
      </c>
    </row>
    <row r="57" spans="3:18" x14ac:dyDescent="0.25">
      <c r="C57" t="s">
        <v>45</v>
      </c>
      <c r="E57" s="15">
        <f>10912+85750</f>
        <v>96662</v>
      </c>
      <c r="F57" s="15">
        <f t="shared" ref="F57:K57" si="15">12350+78328</f>
        <v>90678</v>
      </c>
      <c r="G57" s="45">
        <f>F57</f>
        <v>90678</v>
      </c>
      <c r="H57" s="45">
        <f t="shared" ref="H57:K57" si="16">G57</f>
        <v>90678</v>
      </c>
      <c r="I57" s="45">
        <f t="shared" si="16"/>
        <v>90678</v>
      </c>
      <c r="J57" s="45">
        <f t="shared" si="16"/>
        <v>90678</v>
      </c>
      <c r="K57" s="45">
        <f t="shared" si="16"/>
        <v>90678</v>
      </c>
    </row>
    <row r="58" spans="3:18" x14ac:dyDescent="0.25">
      <c r="C58" t="s">
        <v>42</v>
      </c>
      <c r="E58" s="15">
        <v>45888</v>
      </c>
      <c r="F58" s="15">
        <v>41549</v>
      </c>
      <c r="G58" s="45">
        <f ca="1">F58*(1+G35)</f>
        <v>43751.096999999994</v>
      </c>
      <c r="H58" s="45">
        <f ca="1">G58*(1+H35)</f>
        <v>46376.162819999998</v>
      </c>
      <c r="I58" s="45">
        <f ca="1">H58*(1+I35)</f>
        <v>49251.484914840003</v>
      </c>
      <c r="J58" s="45">
        <f ca="1">I58*(1+J35)</f>
        <v>52452.8314343046</v>
      </c>
      <c r="K58" s="45">
        <f ca="1">J58*(1+K35)</f>
        <v>56072.076803271615</v>
      </c>
    </row>
    <row r="59" spans="3:18" x14ac:dyDescent="0.25">
      <c r="C59" s="5" t="s">
        <v>46</v>
      </c>
      <c r="E59" s="18">
        <f t="shared" ref="E59:K59" si="17">SUM(E53:E58)</f>
        <v>308030</v>
      </c>
      <c r="F59" s="18">
        <f t="shared" si="17"/>
        <v>285508</v>
      </c>
      <c r="G59" s="39">
        <f t="shared" ca="1" si="17"/>
        <v>297517.49893699074</v>
      </c>
      <c r="H59" s="39">
        <f t="shared" ca="1" si="17"/>
        <v>307832.38279367669</v>
      </c>
      <c r="I59" s="39">
        <f t="shared" ca="1" si="17"/>
        <v>321267.85804046592</v>
      </c>
      <c r="J59" s="39">
        <f t="shared" ca="1" si="17"/>
        <v>335736.19881309615</v>
      </c>
      <c r="K59" s="39">
        <f t="shared" ca="1" si="17"/>
        <v>352093.21453119983</v>
      </c>
    </row>
    <row r="60" spans="3:18" x14ac:dyDescent="0.25">
      <c r="G60" s="40"/>
      <c r="H60" s="40"/>
      <c r="I60" s="40"/>
      <c r="J60" s="40"/>
      <c r="K60" s="40"/>
    </row>
    <row r="61" spans="3:18" x14ac:dyDescent="0.25">
      <c r="C61" t="s">
        <v>47</v>
      </c>
      <c r="E61" s="15">
        <v>83276</v>
      </c>
      <c r="F61" s="15">
        <v>93568</v>
      </c>
      <c r="G61" s="32">
        <f ca="1">F61+G31</f>
        <v>107112.739</v>
      </c>
      <c r="H61" s="32">
        <f ca="1">G61+H31</f>
        <v>121470.16234</v>
      </c>
      <c r="I61" s="32">
        <f ca="1">H61+I31</f>
        <v>136717.74592707999</v>
      </c>
      <c r="J61" s="32">
        <f ca="1">I61+J31</f>
        <v>152956.42244732019</v>
      </c>
      <c r="K61" s="32">
        <f ca="1">J61+K31</f>
        <v>170315.56764745695</v>
      </c>
    </row>
    <row r="62" spans="3:18" x14ac:dyDescent="0.25">
      <c r="C62" t="s">
        <v>48</v>
      </c>
      <c r="E62" s="15">
        <v>-19154</v>
      </c>
      <c r="F62" s="15">
        <v>-14264</v>
      </c>
      <c r="G62" s="32">
        <f ca="1">G179</f>
        <v>-13490.627821883012</v>
      </c>
      <c r="H62" s="32">
        <f t="shared" ref="H62:K62" ca="1" si="18">H179</f>
        <v>-2168.6004069229675</v>
      </c>
      <c r="I62" s="32">
        <f t="shared" ca="1" si="18"/>
        <v>15313.990721468552</v>
      </c>
      <c r="J62" s="32">
        <f t="shared" ca="1" si="18"/>
        <v>40650.007242347347</v>
      </c>
      <c r="K62" s="32">
        <f t="shared" ca="1" si="18"/>
        <v>75029.899063166784</v>
      </c>
    </row>
    <row r="63" spans="3:18" x14ac:dyDescent="0.25">
      <c r="C63" t="s">
        <v>49</v>
      </c>
      <c r="E63" s="15">
        <v>-7172</v>
      </c>
      <c r="F63" s="15">
        <v>-5571</v>
      </c>
      <c r="G63" s="46">
        <f>F63</f>
        <v>-5571</v>
      </c>
      <c r="H63" s="46">
        <f t="shared" ref="H63:K63" si="19">G63</f>
        <v>-5571</v>
      </c>
      <c r="I63" s="46">
        <f t="shared" si="19"/>
        <v>-5571</v>
      </c>
      <c r="J63" s="46">
        <f t="shared" si="19"/>
        <v>-5571</v>
      </c>
      <c r="K63" s="46">
        <f t="shared" si="19"/>
        <v>-5571</v>
      </c>
    </row>
    <row r="64" spans="3:18" x14ac:dyDescent="0.25">
      <c r="C64" s="5" t="s">
        <v>50</v>
      </c>
      <c r="E64" s="18">
        <f t="shared" ref="E64:K64" si="20">SUM(E61:E63)</f>
        <v>56950</v>
      </c>
      <c r="F64" s="18">
        <f t="shared" si="20"/>
        <v>73733</v>
      </c>
      <c r="G64" s="39">
        <f t="shared" ca="1" si="20"/>
        <v>88051.111178116989</v>
      </c>
      <c r="H64" s="39">
        <f t="shared" ca="1" si="20"/>
        <v>113730.56193307703</v>
      </c>
      <c r="I64" s="39">
        <f t="shared" ca="1" si="20"/>
        <v>146460.73664854854</v>
      </c>
      <c r="J64" s="39">
        <f t="shared" ca="1" si="20"/>
        <v>188035.42968966754</v>
      </c>
      <c r="K64" s="39">
        <f t="shared" ca="1" si="20"/>
        <v>239774.46671062373</v>
      </c>
    </row>
    <row r="65" spans="3:13" x14ac:dyDescent="0.25">
      <c r="G65" s="40"/>
      <c r="H65" s="40"/>
      <c r="I65" s="40"/>
      <c r="J65" s="40"/>
      <c r="K65" s="40"/>
    </row>
    <row r="66" spans="3:13" x14ac:dyDescent="0.25">
      <c r="C66" s="2" t="s">
        <v>51</v>
      </c>
      <c r="E66" s="34">
        <f>E51-(E59+E64)</f>
        <v>0</v>
      </c>
      <c r="F66" s="34">
        <f t="shared" ref="F66:K66" si="21">F51-(F59+F64)</f>
        <v>0</v>
      </c>
      <c r="G66" s="47">
        <f t="shared" ca="1" si="21"/>
        <v>0</v>
      </c>
      <c r="H66" s="47">
        <f t="shared" ca="1" si="21"/>
        <v>0</v>
      </c>
      <c r="I66" s="47">
        <f t="shared" ca="1" si="21"/>
        <v>0</v>
      </c>
      <c r="J66" s="47">
        <f t="shared" ca="1" si="21"/>
        <v>0</v>
      </c>
      <c r="K66" s="47">
        <f t="shared" ca="1" si="21"/>
        <v>0</v>
      </c>
    </row>
    <row r="67" spans="3:13" x14ac:dyDescent="0.25">
      <c r="G67" s="40"/>
      <c r="H67" s="40"/>
      <c r="I67" s="40"/>
      <c r="J67" s="40"/>
      <c r="K67" s="40"/>
    </row>
    <row r="68" spans="3:13" x14ac:dyDescent="0.25">
      <c r="C68" s="5" t="s">
        <v>61</v>
      </c>
      <c r="G68" s="40"/>
      <c r="H68" s="40"/>
      <c r="I68" s="40"/>
      <c r="J68" s="40"/>
      <c r="K68" s="40"/>
    </row>
    <row r="69" spans="3:13" x14ac:dyDescent="0.25">
      <c r="C69" s="9" t="s">
        <v>11</v>
      </c>
      <c r="D69" s="10"/>
      <c r="E69" s="10"/>
      <c r="F69" s="10">
        <v>2025</v>
      </c>
      <c r="G69" s="43">
        <f>F69+1</f>
        <v>2026</v>
      </c>
      <c r="H69" s="43">
        <f>G69+1</f>
        <v>2027</v>
      </c>
      <c r="I69" s="43">
        <f>H69+1</f>
        <v>2028</v>
      </c>
      <c r="J69" s="43">
        <f>I69+1</f>
        <v>2029</v>
      </c>
      <c r="K69" s="43">
        <f>J69+1</f>
        <v>2030</v>
      </c>
    </row>
    <row r="70" spans="3:13" x14ac:dyDescent="0.25">
      <c r="C70" s="11" t="s">
        <v>12</v>
      </c>
      <c r="D70" s="12"/>
      <c r="E70" s="12"/>
      <c r="F70" s="12">
        <v>45927</v>
      </c>
      <c r="G70" s="44">
        <f>EOMONTH(F70,12)</f>
        <v>46295</v>
      </c>
      <c r="H70" s="44">
        <f>EOMONTH(G70,12)</f>
        <v>46660</v>
      </c>
      <c r="I70" s="44">
        <f>EOMONTH(H70,12)</f>
        <v>47026</v>
      </c>
      <c r="J70" s="44">
        <f>EOMONTH(I70,12)</f>
        <v>47391</v>
      </c>
      <c r="K70" s="44">
        <f>EOMONTH(J70,12)</f>
        <v>47756</v>
      </c>
    </row>
    <row r="71" spans="3:13" x14ac:dyDescent="0.25">
      <c r="D71" s="15"/>
      <c r="E71" s="15"/>
      <c r="F71" s="15"/>
      <c r="G71" s="40"/>
      <c r="H71" s="40"/>
      <c r="I71" s="40"/>
      <c r="J71" s="40"/>
      <c r="K71" s="40"/>
    </row>
    <row r="72" spans="3:13" x14ac:dyDescent="0.25">
      <c r="C72" t="s">
        <v>62</v>
      </c>
      <c r="D72" s="15"/>
      <c r="E72" s="15"/>
      <c r="F72" s="24">
        <f t="shared" ref="F72:K72" si="22">F27</f>
        <v>112010</v>
      </c>
      <c r="G72" s="46">
        <f t="shared" ca="1" si="22"/>
        <v>106238.37217811699</v>
      </c>
      <c r="H72" s="46">
        <f t="shared" ca="1" si="22"/>
        <v>116787.02741496004</v>
      </c>
      <c r="I72" s="46">
        <f t="shared" ca="1" si="22"/>
        <v>122947.59112839152</v>
      </c>
      <c r="J72" s="46">
        <f t="shared" ca="1" si="22"/>
        <v>130801.01652087879</v>
      </c>
      <c r="K72" s="46">
        <f t="shared" ca="1" si="22"/>
        <v>139844.89182081944</v>
      </c>
      <c r="M72" s="13"/>
    </row>
    <row r="73" spans="3:13" x14ac:dyDescent="0.25">
      <c r="C73" t="s">
        <v>63</v>
      </c>
      <c r="E73" s="22"/>
      <c r="F73" s="32">
        <f t="shared" ref="F73:K73" si="23">F29</f>
        <v>11698</v>
      </c>
      <c r="G73" s="32">
        <f t="shared" ca="1" si="23"/>
        <v>8759.2352499999997</v>
      </c>
      <c r="H73" s="32">
        <f t="shared" ca="1" si="23"/>
        <v>9550.6439483333343</v>
      </c>
      <c r="I73" s="32">
        <f t="shared" ca="1" si="23"/>
        <v>10541.805585074446</v>
      </c>
      <c r="J73" s="32">
        <f t="shared" ca="1" si="23"/>
        <v>11730.419263382988</v>
      </c>
      <c r="K73" s="32">
        <f t="shared" ca="1" si="23"/>
        <v>13120.853714709887</v>
      </c>
    </row>
    <row r="74" spans="3:13" x14ac:dyDescent="0.25">
      <c r="C74" t="s">
        <v>64</v>
      </c>
      <c r="E74" s="22"/>
      <c r="F74" s="24">
        <f t="shared" ref="F74:K74" si="24">F31</f>
        <v>12863</v>
      </c>
      <c r="G74" s="46">
        <f t="shared" ca="1" si="24"/>
        <v>13544.739</v>
      </c>
      <c r="H74" s="46">
        <f t="shared" ca="1" si="24"/>
        <v>14357.423339999999</v>
      </c>
      <c r="I74" s="46">
        <f t="shared" ca="1" si="24"/>
        <v>15247.58358708</v>
      </c>
      <c r="J74" s="46">
        <f t="shared" ca="1" si="24"/>
        <v>16238.676520240198</v>
      </c>
      <c r="K74" s="46">
        <f t="shared" ca="1" si="24"/>
        <v>17359.145200136772</v>
      </c>
    </row>
    <row r="75" spans="3:13" x14ac:dyDescent="0.25">
      <c r="C75" t="s">
        <v>65</v>
      </c>
      <c r="F75" s="17">
        <f>SUM(F45:F48)-SUM(E45:E48)</f>
        <v>5444</v>
      </c>
      <c r="G75" s="32">
        <f t="shared" ref="G75:K75" ca="1" si="25">SUM(F45:F48)-SUM(G45:G48)</f>
        <v>-16459.22657206576</v>
      </c>
      <c r="H75" s="32">
        <f t="shared" ca="1" si="25"/>
        <v>5301.2713977678068</v>
      </c>
      <c r="I75" s="32">
        <f t="shared" ca="1" si="25"/>
        <v>-18160.902085031543</v>
      </c>
      <c r="J75" s="32">
        <f t="shared" ca="1" si="25"/>
        <v>3968.1176796019572</v>
      </c>
      <c r="K75" s="32">
        <f t="shared" ca="1" si="25"/>
        <v>-19975.954084253157</v>
      </c>
      <c r="M75" s="13"/>
    </row>
    <row r="76" spans="3:13" x14ac:dyDescent="0.25">
      <c r="C76" t="s">
        <v>66</v>
      </c>
      <c r="F76" s="17">
        <f t="shared" ref="F76:K76" si="26">SUM(F53:F55)-SUM(E53:E55)</f>
        <v>-10211</v>
      </c>
      <c r="G76" s="32">
        <f t="shared" ca="1" si="26"/>
        <v>9786.4019369907619</v>
      </c>
      <c r="H76" s="32">
        <f t="shared" ca="1" si="26"/>
        <v>7689.8180366859015</v>
      </c>
      <c r="I76" s="32">
        <f t="shared" ca="1" si="26"/>
        <v>10560.153151949256</v>
      </c>
      <c r="J76" s="32">
        <f t="shared" ca="1" si="26"/>
        <v>11266.994253165671</v>
      </c>
      <c r="K76" s="32">
        <f t="shared" ca="1" si="26"/>
        <v>12737.770349136612</v>
      </c>
    </row>
    <row r="77" spans="3:13" x14ac:dyDescent="0.25">
      <c r="C77" t="s">
        <v>67</v>
      </c>
      <c r="F77" s="32">
        <f t="shared" ref="F77:K77" si="27">-F171</f>
        <v>-12591</v>
      </c>
      <c r="G77" s="32">
        <f t="shared" ca="1" si="27"/>
        <v>-8331.5249999999869</v>
      </c>
      <c r="H77" s="32">
        <f t="shared" ca="1" si="27"/>
        <v>-9417.5054999999993</v>
      </c>
      <c r="I77" s="32">
        <f t="shared" ca="1" si="27"/>
        <v>-10177.719903000007</v>
      </c>
      <c r="J77" s="32">
        <f t="shared" ca="1" si="27"/>
        <v>-11119.634905274988</v>
      </c>
      <c r="K77" s="32">
        <f t="shared" ca="1" si="27"/>
        <v>-12283.884017088249</v>
      </c>
    </row>
    <row r="78" spans="3:13" x14ac:dyDescent="0.25">
      <c r="C78" t="s">
        <v>68</v>
      </c>
      <c r="F78" s="17">
        <f t="shared" ref="F78:K78" si="28">F58-E58</f>
        <v>-4339</v>
      </c>
      <c r="G78" s="32">
        <f t="shared" ca="1" si="28"/>
        <v>2202.0969999999943</v>
      </c>
      <c r="H78" s="32">
        <f t="shared" ca="1" si="28"/>
        <v>2625.0658200000034</v>
      </c>
      <c r="I78" s="32">
        <f t="shared" ca="1" si="28"/>
        <v>2875.3220948400049</v>
      </c>
      <c r="J78" s="32">
        <f t="shared" ca="1" si="28"/>
        <v>3201.3465194645978</v>
      </c>
      <c r="K78" s="32">
        <f t="shared" ca="1" si="28"/>
        <v>3619.2453689670147</v>
      </c>
      <c r="M78" s="13"/>
    </row>
    <row r="79" spans="3:13" x14ac:dyDescent="0.25">
      <c r="C79" s="5" t="s">
        <v>69</v>
      </c>
      <c r="F79" s="18">
        <f t="shared" ref="F79:K79" si="29">SUM(F72:F78)</f>
        <v>114874</v>
      </c>
      <c r="G79" s="39">
        <f t="shared" ca="1" si="29"/>
        <v>115740.09379304199</v>
      </c>
      <c r="H79" s="39">
        <f t="shared" ca="1" si="29"/>
        <v>146893.74445774709</v>
      </c>
      <c r="I79" s="39">
        <f t="shared" ca="1" si="29"/>
        <v>133833.83355930372</v>
      </c>
      <c r="J79" s="39">
        <f t="shared" ca="1" si="29"/>
        <v>166086.93585145922</v>
      </c>
      <c r="K79" s="39">
        <f t="shared" ca="1" si="29"/>
        <v>154422.06835242829</v>
      </c>
    </row>
    <row r="80" spans="3:13" x14ac:dyDescent="0.25">
      <c r="G80" s="40"/>
      <c r="H80" s="40"/>
      <c r="I80" s="40"/>
      <c r="J80" s="40"/>
      <c r="K80" s="40"/>
    </row>
    <row r="81" spans="3:11" x14ac:dyDescent="0.25">
      <c r="C81" t="s">
        <v>70</v>
      </c>
      <c r="F81" s="32">
        <f t="shared" ref="F81:K81" si="30">-F136</f>
        <v>-12715</v>
      </c>
      <c r="G81" s="32">
        <f t="shared" ca="1" si="30"/>
        <v>-13388.894999999999</v>
      </c>
      <c r="H81" s="32">
        <f t="shared" ca="1" si="30"/>
        <v>-14192.2287</v>
      </c>
      <c r="I81" s="32">
        <f t="shared" ca="1" si="30"/>
        <v>-15072.146879400001</v>
      </c>
      <c r="J81" s="32">
        <f t="shared" ca="1" si="30"/>
        <v>-16051.836426561</v>
      </c>
      <c r="K81" s="32">
        <f t="shared" ca="1" si="30"/>
        <v>-17159.413139993707</v>
      </c>
    </row>
    <row r="82" spans="3:11" x14ac:dyDescent="0.25">
      <c r="C82" s="5" t="s">
        <v>71</v>
      </c>
      <c r="F82" s="32">
        <f t="shared" ref="F82:K82" si="31">SUM(F81)</f>
        <v>-12715</v>
      </c>
      <c r="G82" s="39">
        <f t="shared" ca="1" si="31"/>
        <v>-13388.894999999999</v>
      </c>
      <c r="H82" s="39">
        <f t="shared" ca="1" si="31"/>
        <v>-14192.2287</v>
      </c>
      <c r="I82" s="39">
        <f t="shared" ca="1" si="31"/>
        <v>-15072.146879400001</v>
      </c>
      <c r="J82" s="39">
        <f t="shared" ca="1" si="31"/>
        <v>-16051.836426561</v>
      </c>
      <c r="K82" s="39">
        <f t="shared" ca="1" si="31"/>
        <v>-17159.413139993707</v>
      </c>
    </row>
    <row r="83" spans="3:11" x14ac:dyDescent="0.25">
      <c r="G83" s="40"/>
      <c r="H83" s="40"/>
      <c r="I83" s="40"/>
      <c r="J83" s="40"/>
      <c r="K83" s="40"/>
    </row>
    <row r="84" spans="3:11" x14ac:dyDescent="0.25">
      <c r="C84" t="s">
        <v>72</v>
      </c>
      <c r="F84" s="17">
        <f t="shared" ref="F84:K84" si="32">F57-E57</f>
        <v>-5984</v>
      </c>
      <c r="G84" s="32">
        <f t="shared" si="32"/>
        <v>0</v>
      </c>
      <c r="H84" s="32">
        <f t="shared" si="32"/>
        <v>0</v>
      </c>
      <c r="I84" s="32">
        <f t="shared" si="32"/>
        <v>0</v>
      </c>
      <c r="J84" s="32">
        <f t="shared" si="32"/>
        <v>0</v>
      </c>
      <c r="K84" s="32">
        <f t="shared" si="32"/>
        <v>0</v>
      </c>
    </row>
    <row r="85" spans="3:11" x14ac:dyDescent="0.25">
      <c r="C85" t="s">
        <v>73</v>
      </c>
      <c r="G85" s="32">
        <f ca="1">G56-F56</f>
        <v>21</v>
      </c>
      <c r="H85" s="32">
        <f t="shared" ref="H85:K85" ca="1" si="33">H56-G56</f>
        <v>0</v>
      </c>
      <c r="I85" s="32">
        <f t="shared" ca="1" si="33"/>
        <v>0</v>
      </c>
      <c r="J85" s="32">
        <f t="shared" ca="1" si="33"/>
        <v>0</v>
      </c>
      <c r="K85" s="32">
        <f t="shared" ca="1" si="33"/>
        <v>0</v>
      </c>
    </row>
    <row r="86" spans="3:11" x14ac:dyDescent="0.25">
      <c r="C86" t="s">
        <v>74</v>
      </c>
      <c r="G86" s="32">
        <f>G178</f>
        <v>-90052</v>
      </c>
      <c r="H86" s="32">
        <f t="shared" ref="H86:K86" si="34">H178</f>
        <v>-90052</v>
      </c>
      <c r="I86" s="32">
        <f t="shared" si="34"/>
        <v>-90052</v>
      </c>
      <c r="J86" s="32">
        <f t="shared" si="34"/>
        <v>-90052</v>
      </c>
      <c r="K86" s="32">
        <f t="shared" si="34"/>
        <v>-90052</v>
      </c>
    </row>
    <row r="87" spans="3:11" x14ac:dyDescent="0.25">
      <c r="C87" t="s">
        <v>75</v>
      </c>
      <c r="G87" s="32">
        <f>G177</f>
        <v>-15413</v>
      </c>
      <c r="H87" s="32">
        <f t="shared" ref="H87:K87" si="35">H177</f>
        <v>-15413</v>
      </c>
      <c r="I87" s="32">
        <f t="shared" si="35"/>
        <v>-15413</v>
      </c>
      <c r="J87" s="32">
        <f t="shared" si="35"/>
        <v>-15413</v>
      </c>
      <c r="K87" s="32">
        <f t="shared" si="35"/>
        <v>-15413</v>
      </c>
    </row>
    <row r="88" spans="3:11" x14ac:dyDescent="0.25">
      <c r="C88" s="5" t="s">
        <v>76</v>
      </c>
      <c r="F88" s="18">
        <f t="shared" ref="F88:K88" si="36">SUM(F84:F87)</f>
        <v>-5984</v>
      </c>
      <c r="G88" s="39">
        <f t="shared" ca="1" si="36"/>
        <v>-105444</v>
      </c>
      <c r="H88" s="39">
        <f t="shared" ca="1" si="36"/>
        <v>-105465</v>
      </c>
      <c r="I88" s="39">
        <f t="shared" ca="1" si="36"/>
        <v>-105465</v>
      </c>
      <c r="J88" s="39">
        <f t="shared" ca="1" si="36"/>
        <v>-105465</v>
      </c>
      <c r="K88" s="39">
        <f t="shared" ca="1" si="36"/>
        <v>-105465</v>
      </c>
    </row>
    <row r="89" spans="3:11" x14ac:dyDescent="0.25">
      <c r="G89" s="40"/>
      <c r="H89" s="40"/>
      <c r="I89" s="40"/>
      <c r="J89" s="40"/>
      <c r="K89" s="40"/>
    </row>
    <row r="90" spans="3:11" x14ac:dyDescent="0.25">
      <c r="C90" s="5" t="s">
        <v>77</v>
      </c>
      <c r="F90" s="18">
        <f t="shared" ref="F90:K90" si="37">SUM(F79,F82,F88)</f>
        <v>96175</v>
      </c>
      <c r="G90" s="39">
        <f t="shared" ca="1" si="37"/>
        <v>-3092.8012069580145</v>
      </c>
      <c r="H90" s="39">
        <f t="shared" ca="1" si="37"/>
        <v>27236.515757747082</v>
      </c>
      <c r="I90" s="39">
        <f t="shared" ca="1" si="37"/>
        <v>13296.686679903723</v>
      </c>
      <c r="J90" s="39">
        <f t="shared" ca="1" si="37"/>
        <v>44570.099424898217</v>
      </c>
      <c r="K90" s="39">
        <f t="shared" ca="1" si="37"/>
        <v>31797.655212434591</v>
      </c>
    </row>
    <row r="91" spans="3:11" x14ac:dyDescent="0.25">
      <c r="C91" s="5"/>
      <c r="F91" s="18"/>
      <c r="G91" s="39"/>
      <c r="H91" s="39"/>
      <c r="I91" s="39"/>
      <c r="J91" s="39"/>
      <c r="K91" s="39"/>
    </row>
    <row r="92" spans="3:11" x14ac:dyDescent="0.25">
      <c r="C92" s="5" t="s">
        <v>161</v>
      </c>
    </row>
    <row r="93" spans="3:11" x14ac:dyDescent="0.25">
      <c r="C93" s="9" t="s">
        <v>11</v>
      </c>
      <c r="D93" s="10">
        <f>E93-1</f>
        <v>2023</v>
      </c>
      <c r="E93" s="10">
        <f>F93-1</f>
        <v>2024</v>
      </c>
      <c r="F93" s="10">
        <f>F15</f>
        <v>2025</v>
      </c>
      <c r="G93" s="23">
        <f>F93+1</f>
        <v>2026</v>
      </c>
      <c r="H93" s="23">
        <f>G93+1</f>
        <v>2027</v>
      </c>
      <c r="I93" s="23">
        <f>H93+1</f>
        <v>2028</v>
      </c>
      <c r="J93" s="23">
        <f>I93+1</f>
        <v>2029</v>
      </c>
      <c r="K93" s="23">
        <f>J93+1</f>
        <v>2030</v>
      </c>
    </row>
    <row r="94" spans="3:11" x14ac:dyDescent="0.25">
      <c r="C94" s="11" t="s">
        <v>12</v>
      </c>
      <c r="D94" s="12">
        <f>EOMONTH(E94,-12)</f>
        <v>45199</v>
      </c>
      <c r="E94" s="12">
        <f>EOMONTH(F94,-12)</f>
        <v>45565</v>
      </c>
      <c r="F94" s="12">
        <f>F16</f>
        <v>45927</v>
      </c>
      <c r="G94" s="12">
        <f>EOMONTH(F94,12)</f>
        <v>46295</v>
      </c>
      <c r="H94" s="12">
        <f>EOMONTH(G94,12)</f>
        <v>46660</v>
      </c>
      <c r="I94" s="12">
        <f>EOMONTH(H94,12)</f>
        <v>47026</v>
      </c>
      <c r="J94" s="12">
        <f>EOMONTH(I94,12)</f>
        <v>47391</v>
      </c>
      <c r="K94" s="12">
        <f>EOMONTH(J94,12)</f>
        <v>47756</v>
      </c>
    </row>
    <row r="95" spans="3:11" x14ac:dyDescent="0.25">
      <c r="C95" s="5"/>
      <c r="F95" s="18"/>
      <c r="G95" s="39"/>
      <c r="H95" s="39"/>
      <c r="I95" s="39"/>
      <c r="J95" s="39"/>
      <c r="K95" s="39"/>
    </row>
    <row r="96" spans="3:11" x14ac:dyDescent="0.25">
      <c r="C96" s="5" t="s">
        <v>162</v>
      </c>
      <c r="D96" s="123" t="s">
        <v>166</v>
      </c>
      <c r="E96" s="123"/>
      <c r="F96" s="123"/>
      <c r="G96" s="124" t="s">
        <v>167</v>
      </c>
      <c r="H96" s="124"/>
      <c r="I96" s="124"/>
      <c r="J96" s="124"/>
      <c r="K96" s="124"/>
    </row>
    <row r="97" spans="3:23" x14ac:dyDescent="0.25">
      <c r="C97" t="s">
        <v>163</v>
      </c>
      <c r="F97" s="18"/>
      <c r="G97" s="45">
        <f>F99</f>
        <v>39777</v>
      </c>
      <c r="H97" s="45">
        <f t="shared" ref="H97:K97" ca="1" si="38">G99</f>
        <v>51468.294542465752</v>
      </c>
      <c r="I97" s="45">
        <f t="shared" ca="1" si="38"/>
        <v>45251.717672547951</v>
      </c>
      <c r="J97" s="45">
        <f t="shared" ca="1" si="38"/>
        <v>57464.93529979662</v>
      </c>
      <c r="K97" s="45">
        <f t="shared" ca="1" si="38"/>
        <v>51928.300115750346</v>
      </c>
    </row>
    <row r="98" spans="3:23" x14ac:dyDescent="0.25">
      <c r="C98" s="4" t="s">
        <v>165</v>
      </c>
      <c r="F98" s="18"/>
      <c r="G98" s="45">
        <f ca="1">G99-G97</f>
        <v>11691.294542465752</v>
      </c>
      <c r="H98" s="45">
        <f t="shared" ref="H98:K98" ca="1" si="39">H99-H97</f>
        <v>-6216.5768699178007</v>
      </c>
      <c r="I98" s="45">
        <f t="shared" ca="1" si="39"/>
        <v>12213.217627248669</v>
      </c>
      <c r="J98" s="45">
        <f t="shared" ca="1" si="39"/>
        <v>-5536.6351840462739</v>
      </c>
      <c r="K98" s="45">
        <f t="shared" ca="1" si="39"/>
        <v>13084.768427719027</v>
      </c>
    </row>
    <row r="99" spans="3:23" x14ac:dyDescent="0.25">
      <c r="C99" s="92" t="s">
        <v>164</v>
      </c>
      <c r="D99" s="5"/>
      <c r="E99" s="18">
        <f>E45</f>
        <v>33410</v>
      </c>
      <c r="F99" s="18">
        <f>F45</f>
        <v>39777</v>
      </c>
      <c r="G99" s="39">
        <f ca="1">IF($E$103=1,F99*(1+G105),2*G18*G106/365-G97)</f>
        <v>51468.294542465752</v>
      </c>
      <c r="H99" s="39">
        <f t="shared" ref="H99:K99" ca="1" si="40">IF($E$103=1,G99*(1+H105),2*H18*H106/365-H97)</f>
        <v>45251.717672547951</v>
      </c>
      <c r="I99" s="39">
        <f t="shared" ca="1" si="40"/>
        <v>57464.93529979662</v>
      </c>
      <c r="J99" s="39">
        <f t="shared" ca="1" si="40"/>
        <v>51928.300115750346</v>
      </c>
      <c r="K99" s="39">
        <f t="shared" ca="1" si="40"/>
        <v>65013.068543469373</v>
      </c>
      <c r="W99">
        <v>1</v>
      </c>
    </row>
    <row r="100" spans="3:23" x14ac:dyDescent="0.25">
      <c r="C100" s="5"/>
      <c r="F100" s="18"/>
      <c r="G100" s="39"/>
      <c r="H100" s="39"/>
      <c r="I100" s="39"/>
      <c r="J100" s="39"/>
      <c r="K100" s="39"/>
      <c r="W100">
        <v>2</v>
      </c>
    </row>
    <row r="101" spans="3:23" x14ac:dyDescent="0.25">
      <c r="C101" s="4" t="s">
        <v>168</v>
      </c>
      <c r="F101" s="20">
        <f>AVERAGE(F99,E99)/F18</f>
        <v>8.7931113198978283E-2</v>
      </c>
      <c r="G101" s="20">
        <f t="shared" ref="G101:K101" ca="1" si="41">AVERAGE(G99,F99)/G18</f>
        <v>0.10410958904109589</v>
      </c>
      <c r="H101" s="20">
        <f t="shared" ca="1" si="41"/>
        <v>0.10410958904109588</v>
      </c>
      <c r="I101" s="20">
        <f t="shared" ca="1" si="41"/>
        <v>0.10410958904109589</v>
      </c>
      <c r="J101" s="20">
        <f t="shared" ca="1" si="41"/>
        <v>0.10410958904109589</v>
      </c>
      <c r="K101" s="20">
        <f t="shared" ca="1" si="41"/>
        <v>0.10410958904109591</v>
      </c>
      <c r="W101">
        <v>1</v>
      </c>
    </row>
    <row r="102" spans="3:23" ht="15.75" thickBot="1" x14ac:dyDescent="0.3">
      <c r="C102" s="5"/>
      <c r="F102" s="18"/>
      <c r="G102" s="39"/>
      <c r="H102" s="39"/>
      <c r="I102" s="39"/>
      <c r="J102" s="39"/>
      <c r="K102" s="39"/>
      <c r="W102">
        <v>0.5</v>
      </c>
    </row>
    <row r="103" spans="3:23" ht="15.75" thickBot="1" x14ac:dyDescent="0.3">
      <c r="C103" s="93" t="s">
        <v>169</v>
      </c>
      <c r="E103" s="98">
        <v>2</v>
      </c>
      <c r="F103" s="18"/>
      <c r="G103" s="39"/>
      <c r="H103" s="39"/>
      <c r="I103" s="39"/>
      <c r="J103" s="39"/>
      <c r="K103" s="39"/>
    </row>
    <row r="104" spans="3:23" x14ac:dyDescent="0.25">
      <c r="C104" s="5"/>
      <c r="F104" s="18"/>
      <c r="G104" s="39"/>
      <c r="H104" s="39"/>
      <c r="I104" s="39"/>
      <c r="J104" s="39"/>
      <c r="K104" s="39"/>
      <c r="O104" s="45"/>
    </row>
    <row r="105" spans="3:23" x14ac:dyDescent="0.25">
      <c r="C105" s="93" t="s">
        <v>170</v>
      </c>
      <c r="F105" s="18"/>
      <c r="G105" s="68">
        <f ca="1">G35</f>
        <v>5.2999999999999999E-2</v>
      </c>
      <c r="H105" s="68">
        <f t="shared" ref="H105:K105" ca="1" si="42">H35</f>
        <v>0.06</v>
      </c>
      <c r="I105" s="68">
        <f t="shared" ca="1" si="42"/>
        <v>6.2E-2</v>
      </c>
      <c r="J105" s="68">
        <f t="shared" ca="1" si="42"/>
        <v>6.5000000000000002E-2</v>
      </c>
      <c r="K105" s="68">
        <f t="shared" ca="1" si="42"/>
        <v>6.9000000000000006E-2</v>
      </c>
    </row>
    <row r="106" spans="3:23" x14ac:dyDescent="0.25">
      <c r="C106" s="93" t="s">
        <v>171</v>
      </c>
      <c r="F106" s="95">
        <f>F101*365</f>
        <v>32.094856317627077</v>
      </c>
      <c r="G106" s="97">
        <v>38</v>
      </c>
      <c r="H106" s="97">
        <v>38</v>
      </c>
      <c r="I106" s="97">
        <v>38</v>
      </c>
      <c r="J106" s="97">
        <v>38</v>
      </c>
      <c r="K106" s="97">
        <v>38</v>
      </c>
    </row>
    <row r="107" spans="3:23" x14ac:dyDescent="0.25">
      <c r="C107" s="5"/>
      <c r="F107" s="18"/>
      <c r="G107" s="45"/>
      <c r="H107" s="39"/>
      <c r="I107" s="39"/>
      <c r="J107" s="39"/>
      <c r="K107" s="39"/>
    </row>
    <row r="108" spans="3:23" x14ac:dyDescent="0.25">
      <c r="C108" s="84" t="s">
        <v>175</v>
      </c>
      <c r="D108" s="125" t="s">
        <v>166</v>
      </c>
      <c r="E108" s="125"/>
      <c r="F108" s="125"/>
      <c r="G108" s="126" t="s">
        <v>167</v>
      </c>
      <c r="H108" s="126"/>
      <c r="I108" s="126"/>
      <c r="J108" s="126"/>
      <c r="K108" s="126"/>
    </row>
    <row r="109" spans="3:23" x14ac:dyDescent="0.25">
      <c r="C109" s="4" t="s">
        <v>163</v>
      </c>
      <c r="F109" s="18"/>
      <c r="G109" s="45">
        <f>F111</f>
        <v>5718</v>
      </c>
      <c r="H109" s="45">
        <f t="shared" ref="H109:K109" ca="1" si="43">G111</f>
        <v>7954.3870296000005</v>
      </c>
      <c r="I109" s="45">
        <f t="shared" ca="1" si="43"/>
        <v>5851.8998017499998</v>
      </c>
      <c r="J109" s="45">
        <f t="shared" ca="1" si="43"/>
        <v>8494.0953221328637</v>
      </c>
      <c r="K109" s="45">
        <f t="shared" ca="1" si="43"/>
        <v>6382.3240951461958</v>
      </c>
    </row>
    <row r="110" spans="3:23" x14ac:dyDescent="0.25">
      <c r="C110" s="4" t="s">
        <v>165</v>
      </c>
      <c r="F110" s="18"/>
      <c r="G110" s="45">
        <f ca="1">G111-G109</f>
        <v>2236.3870296000005</v>
      </c>
      <c r="H110" s="45">
        <f t="shared" ref="H110:K110" ca="1" si="44">H111-H109</f>
        <v>-2102.4872278500006</v>
      </c>
      <c r="I110" s="45">
        <f t="shared" ca="1" si="44"/>
        <v>2642.1955203828638</v>
      </c>
      <c r="J110" s="45">
        <f t="shared" ca="1" si="44"/>
        <v>-2111.7712269866679</v>
      </c>
      <c r="K110" s="45">
        <f t="shared" ca="1" si="44"/>
        <v>2730.4776960847848</v>
      </c>
    </row>
    <row r="111" spans="3:23" x14ac:dyDescent="0.25">
      <c r="C111" s="5" t="s">
        <v>164</v>
      </c>
      <c r="D111" s="5"/>
      <c r="E111" s="18">
        <f>E46</f>
        <v>7286</v>
      </c>
      <c r="F111" s="18">
        <f>F46</f>
        <v>5718</v>
      </c>
      <c r="G111" s="39">
        <f ca="1">IF($E$115=1,-G117*G19,2*-G19/G118-G109)</f>
        <v>7954.3870296000005</v>
      </c>
      <c r="H111" s="39">
        <f t="shared" ref="H111:K111" ca="1" si="45">IF($E$115=1,2*-H117*H19-H109,2*-H19/H118-H109)</f>
        <v>5851.8998017499998</v>
      </c>
      <c r="I111" s="39">
        <f t="shared" ca="1" si="45"/>
        <v>8494.0953221328637</v>
      </c>
      <c r="J111" s="39">
        <f t="shared" ca="1" si="45"/>
        <v>6382.3240951461958</v>
      </c>
      <c r="K111" s="39">
        <f t="shared" ca="1" si="45"/>
        <v>9112.8017912309806</v>
      </c>
    </row>
    <row r="112" spans="3:23" x14ac:dyDescent="0.25">
      <c r="C112" s="5"/>
      <c r="F112" s="18"/>
      <c r="G112" s="39"/>
      <c r="H112" s="39"/>
      <c r="I112" s="39"/>
      <c r="J112" s="39"/>
      <c r="K112" s="39"/>
    </row>
    <row r="113" spans="3:11" x14ac:dyDescent="0.25">
      <c r="C113" s="4"/>
      <c r="F113" s="18"/>
      <c r="G113" s="39"/>
      <c r="H113" s="39"/>
      <c r="I113" s="39"/>
      <c r="J113" s="39"/>
      <c r="K113" s="39"/>
    </row>
    <row r="114" spans="3:11" ht="15.75" thickBot="1" x14ac:dyDescent="0.3">
      <c r="C114" s="5"/>
      <c r="F114" s="18"/>
      <c r="G114" s="39"/>
      <c r="H114" s="39"/>
      <c r="I114" s="39"/>
      <c r="J114" s="39"/>
      <c r="K114" s="39"/>
    </row>
    <row r="115" spans="3:11" ht="15.75" thickBot="1" x14ac:dyDescent="0.3">
      <c r="C115" s="93" t="s">
        <v>172</v>
      </c>
      <c r="E115" s="98">
        <v>2</v>
      </c>
      <c r="F115" s="18"/>
      <c r="G115" s="39"/>
      <c r="H115" s="39"/>
      <c r="I115" s="39"/>
      <c r="J115" s="39"/>
      <c r="K115" s="39"/>
    </row>
    <row r="116" spans="3:11" x14ac:dyDescent="0.25">
      <c r="C116" s="5"/>
      <c r="F116" s="99"/>
      <c r="G116" s="39"/>
      <c r="H116" s="39"/>
      <c r="I116" s="39"/>
      <c r="J116" s="39"/>
      <c r="K116" s="39"/>
    </row>
    <row r="117" spans="3:11" x14ac:dyDescent="0.25">
      <c r="C117" s="93" t="s">
        <v>173</v>
      </c>
      <c r="F117" s="100">
        <f>AVERAGE(F111,E111)/F44</f>
        <v>4.910134420782359E-2</v>
      </c>
      <c r="G117" s="101">
        <f>F117</f>
        <v>4.910134420782359E-2</v>
      </c>
      <c r="H117" s="101">
        <f t="shared" ref="H117:K117" si="46">G117</f>
        <v>4.910134420782359E-2</v>
      </c>
      <c r="I117" s="101">
        <f t="shared" si="46"/>
        <v>4.910134420782359E-2</v>
      </c>
      <c r="J117" s="101">
        <f t="shared" si="46"/>
        <v>4.910134420782359E-2</v>
      </c>
      <c r="K117" s="101">
        <f t="shared" si="46"/>
        <v>4.910134420782359E-2</v>
      </c>
    </row>
    <row r="118" spans="3:11" x14ac:dyDescent="0.25">
      <c r="C118" s="93" t="s">
        <v>174</v>
      </c>
      <c r="F118" s="102">
        <f>-F19/AVERAGE(E111:F111)</f>
        <v>33.98338972623808</v>
      </c>
      <c r="G118" s="103">
        <v>35</v>
      </c>
      <c r="H118" s="103">
        <v>36</v>
      </c>
      <c r="I118" s="103">
        <v>37</v>
      </c>
      <c r="J118" s="103">
        <v>38</v>
      </c>
      <c r="K118" s="103">
        <v>39</v>
      </c>
    </row>
    <row r="119" spans="3:11" x14ac:dyDescent="0.25">
      <c r="C119" s="93"/>
      <c r="F119" s="102"/>
      <c r="G119" s="103"/>
      <c r="H119" s="103"/>
      <c r="I119" s="103"/>
      <c r="J119" s="103"/>
      <c r="K119" s="103"/>
    </row>
    <row r="120" spans="3:11" x14ac:dyDescent="0.25">
      <c r="C120" s="92" t="s">
        <v>176</v>
      </c>
    </row>
    <row r="121" spans="3:11" x14ac:dyDescent="0.25">
      <c r="C121" s="38" t="s">
        <v>177</v>
      </c>
      <c r="D121" s="38"/>
      <c r="E121" s="38"/>
      <c r="F121" s="105">
        <f>AVERAGE(E45:F45)/F18*365</f>
        <v>32.094856317627077</v>
      </c>
      <c r="G121" s="105">
        <f t="shared" ref="G121:K121" ca="1" si="47">AVERAGE(F45:G45)/G18*365</f>
        <v>38</v>
      </c>
      <c r="H121" s="105">
        <f t="shared" ca="1" si="47"/>
        <v>37.999999999999993</v>
      </c>
      <c r="I121" s="105">
        <f t="shared" ca="1" si="47"/>
        <v>38</v>
      </c>
      <c r="J121" s="105">
        <f t="shared" ca="1" si="47"/>
        <v>38</v>
      </c>
      <c r="K121" s="105">
        <f t="shared" ca="1" si="47"/>
        <v>38.000000000000007</v>
      </c>
    </row>
    <row r="122" spans="3:11" x14ac:dyDescent="0.25">
      <c r="C122" t="s">
        <v>178</v>
      </c>
      <c r="F122" s="106">
        <f>F121+AVERAGE(E47:F47)/F18*365</f>
        <v>61.043682613219403</v>
      </c>
      <c r="G122" s="106">
        <f t="shared" ref="G122:K122" ca="1" si="48">G121+AVERAGE(F47:G47)/G18*365</f>
        <v>66.368635697650191</v>
      </c>
      <c r="H122" s="106">
        <f t="shared" ca="1" si="48"/>
        <v>66.27738384813243</v>
      </c>
      <c r="I122" s="106">
        <f t="shared" ca="1" si="48"/>
        <v>66.251532839915541</v>
      </c>
      <c r="J122" s="106">
        <f t="shared" ca="1" si="48"/>
        <v>66.212938376943839</v>
      </c>
      <c r="K122" s="106">
        <f t="shared" ca="1" si="48"/>
        <v>66.161816057422868</v>
      </c>
    </row>
    <row r="123" spans="3:11" x14ac:dyDescent="0.25">
      <c r="C123" t="s">
        <v>179</v>
      </c>
      <c r="F123" s="106">
        <f>-AVERAGE(E46:F46)/F19*365</f>
        <v>10.740541274438813</v>
      </c>
      <c r="G123" s="106">
        <f t="shared" ref="G123:K123" ca="1" si="49">-AVERAGE(F46:G46)/G19*365</f>
        <v>10.428571428571429</v>
      </c>
      <c r="H123" s="106">
        <f t="shared" ca="1" si="49"/>
        <v>10.138888888888889</v>
      </c>
      <c r="I123" s="106">
        <f t="shared" ca="1" si="49"/>
        <v>9.8648648648648649</v>
      </c>
      <c r="J123" s="106">
        <f t="shared" ca="1" si="49"/>
        <v>9.6052631578947381</v>
      </c>
      <c r="K123" s="106">
        <f t="shared" ca="1" si="49"/>
        <v>9.3589743589743595</v>
      </c>
    </row>
    <row r="124" spans="3:11" x14ac:dyDescent="0.25">
      <c r="C124" s="5" t="s">
        <v>180</v>
      </c>
      <c r="F124" s="94">
        <f>SUM(F122:F123)</f>
        <v>71.784223887658214</v>
      </c>
      <c r="G124" s="94">
        <f t="shared" ref="G124:K124" ca="1" si="50">SUM(G122:G123)</f>
        <v>76.797207126221622</v>
      </c>
      <c r="H124" s="94">
        <f t="shared" ca="1" si="50"/>
        <v>76.416272737021316</v>
      </c>
      <c r="I124" s="94">
        <f t="shared" ca="1" si="50"/>
        <v>76.116397704780411</v>
      </c>
      <c r="J124" s="94">
        <f t="shared" ca="1" si="50"/>
        <v>75.818201534838579</v>
      </c>
      <c r="K124" s="94">
        <f t="shared" ca="1" si="50"/>
        <v>75.520790416397233</v>
      </c>
    </row>
    <row r="125" spans="3:11" x14ac:dyDescent="0.25">
      <c r="C125" s="5"/>
    </row>
    <row r="126" spans="3:11" x14ac:dyDescent="0.25">
      <c r="C126" t="s">
        <v>181</v>
      </c>
      <c r="F126" s="95">
        <f>-365*AVERAGE(E53:F53)/F19</f>
        <v>114.65717776973207</v>
      </c>
      <c r="G126" s="95">
        <f t="shared" ref="G126:K126" ca="1" si="51">-365*AVERAGE(F53:G53)/G19</f>
        <v>110.98576402208202</v>
      </c>
      <c r="H126" s="95">
        <f t="shared" ca="1" si="51"/>
        <v>113.25368044202941</v>
      </c>
      <c r="I126" s="95">
        <f t="shared" ca="1" si="51"/>
        <v>111.72899489711476</v>
      </c>
      <c r="J126" s="95">
        <f t="shared" ca="1" si="51"/>
        <v>111.87891271719137</v>
      </c>
      <c r="K126" s="95">
        <f t="shared" ca="1" si="51"/>
        <v>111.67618624300526</v>
      </c>
    </row>
    <row r="127" spans="3:11" x14ac:dyDescent="0.25">
      <c r="C127" s="5" t="s">
        <v>182</v>
      </c>
      <c r="F127" s="94">
        <f>F124-F126</f>
        <v>-42.872953882073858</v>
      </c>
      <c r="G127" s="94">
        <f t="shared" ref="G127:K127" ca="1" si="52">G124-G126</f>
        <v>-34.188556895860401</v>
      </c>
      <c r="H127" s="94">
        <f t="shared" ca="1" si="52"/>
        <v>-36.83740770500809</v>
      </c>
      <c r="I127" s="94">
        <f t="shared" ca="1" si="52"/>
        <v>-35.612597192334349</v>
      </c>
      <c r="J127" s="94">
        <f t="shared" ca="1" si="52"/>
        <v>-36.06071118235279</v>
      </c>
      <c r="K127" s="94">
        <f t="shared" ca="1" si="52"/>
        <v>-36.155395826608029</v>
      </c>
    </row>
    <row r="128" spans="3:11" x14ac:dyDescent="0.25">
      <c r="C128" s="5"/>
    </row>
    <row r="131" spans="3:12" x14ac:dyDescent="0.25">
      <c r="C131" s="5" t="s">
        <v>78</v>
      </c>
      <c r="G131" s="40"/>
      <c r="H131" s="40"/>
      <c r="I131" s="40"/>
      <c r="J131" s="40"/>
      <c r="K131" s="40"/>
    </row>
    <row r="132" spans="3:12" x14ac:dyDescent="0.25">
      <c r="C132" s="9" t="s">
        <v>11</v>
      </c>
      <c r="D132" s="10">
        <f>E132-1</f>
        <v>2023</v>
      </c>
      <c r="E132" s="10">
        <f>F132-1</f>
        <v>2024</v>
      </c>
      <c r="F132" s="10">
        <f>F15</f>
        <v>2025</v>
      </c>
      <c r="G132" s="43">
        <f>F132+1</f>
        <v>2026</v>
      </c>
      <c r="H132" s="43">
        <f>G132+1</f>
        <v>2027</v>
      </c>
      <c r="I132" s="43">
        <f>H132+1</f>
        <v>2028</v>
      </c>
      <c r="J132" s="43">
        <f>I132+1</f>
        <v>2029</v>
      </c>
      <c r="K132" s="43">
        <f>J132+1</f>
        <v>2030</v>
      </c>
    </row>
    <row r="133" spans="3:12" x14ac:dyDescent="0.25">
      <c r="C133" s="11" t="s">
        <v>12</v>
      </c>
      <c r="D133" s="12">
        <f>EOMONTH(E133,-12)</f>
        <v>45199</v>
      </c>
      <c r="E133" s="12">
        <f>EOMONTH(F133,-12)</f>
        <v>45565</v>
      </c>
      <c r="F133" s="12">
        <f>F16</f>
        <v>45927</v>
      </c>
      <c r="G133" s="44">
        <f>EOMONTH(F133,12)</f>
        <v>46295</v>
      </c>
      <c r="H133" s="44">
        <f>EOMONTH(G133,12)</f>
        <v>46660</v>
      </c>
      <c r="I133" s="44">
        <f>EOMONTH(H133,12)</f>
        <v>47026</v>
      </c>
      <c r="J133" s="44">
        <f>EOMONTH(I133,12)</f>
        <v>47391</v>
      </c>
      <c r="K133" s="44">
        <f>EOMONTH(J133,12)</f>
        <v>47756</v>
      </c>
    </row>
    <row r="134" spans="3:12" x14ac:dyDescent="0.25">
      <c r="G134" s="40"/>
      <c r="H134" s="40"/>
      <c r="I134" s="40"/>
      <c r="J134" s="40"/>
      <c r="K134" s="40"/>
    </row>
    <row r="135" spans="3:12" x14ac:dyDescent="0.25">
      <c r="C135" t="s">
        <v>79</v>
      </c>
      <c r="F135" s="17">
        <f t="shared" ref="F135:K135" si="53">E138</f>
        <v>45680</v>
      </c>
      <c r="G135" s="32">
        <f t="shared" si="53"/>
        <v>49834</v>
      </c>
      <c r="H135" s="32">
        <f t="shared" ca="1" si="53"/>
        <v>58357.653749999998</v>
      </c>
      <c r="I135" s="32">
        <f t="shared" ca="1" si="53"/>
        <v>67126.872141666667</v>
      </c>
      <c r="J135" s="32">
        <f t="shared" ca="1" si="53"/>
        <v>76040.760361672219</v>
      </c>
      <c r="K135" s="32">
        <f t="shared" ca="1" si="53"/>
        <v>85030.655000699437</v>
      </c>
    </row>
    <row r="136" spans="3:12" x14ac:dyDescent="0.25">
      <c r="C136" t="s">
        <v>80</v>
      </c>
      <c r="D136" s="15">
        <v>10959</v>
      </c>
      <c r="E136" s="15">
        <v>9447</v>
      </c>
      <c r="F136" s="15">
        <v>12715</v>
      </c>
      <c r="G136" s="32">
        <f ca="1">F136*(1+G35)</f>
        <v>13388.894999999999</v>
      </c>
      <c r="H136" s="32">
        <f ca="1">G136*(1+H35)</f>
        <v>14192.2287</v>
      </c>
      <c r="I136" s="32">
        <f ca="1">H136*(1+I35)</f>
        <v>15072.146879400001</v>
      </c>
      <c r="J136" s="32">
        <f ca="1">I136*(1+J35)</f>
        <v>16051.836426561</v>
      </c>
      <c r="K136" s="32">
        <f ca="1">J136*(1+K35)</f>
        <v>17159.413139993707</v>
      </c>
    </row>
    <row r="137" spans="3:12" x14ac:dyDescent="0.25">
      <c r="C137" t="s">
        <v>81</v>
      </c>
      <c r="D137" s="15">
        <v>-8500</v>
      </c>
      <c r="E137" s="15">
        <v>-8200</v>
      </c>
      <c r="F137" s="15">
        <v>-8000</v>
      </c>
      <c r="G137" s="32">
        <f ca="1">-G158</f>
        <v>-4865.24125</v>
      </c>
      <c r="H137" s="32">
        <f t="shared" ref="H137:K137" ca="1" si="54">-H158</f>
        <v>-5423.0103083333333</v>
      </c>
      <c r="I137" s="32">
        <f t="shared" ca="1" si="54"/>
        <v>-6158.2586593944452</v>
      </c>
      <c r="J137" s="32">
        <f t="shared" ca="1" si="54"/>
        <v>-7061.9417875337886</v>
      </c>
      <c r="K137" s="32">
        <f t="shared" ca="1" si="54"/>
        <v>-8130.2512930270914</v>
      </c>
    </row>
    <row r="138" spans="3:12" x14ac:dyDescent="0.25">
      <c r="C138" s="26" t="s">
        <v>82</v>
      </c>
      <c r="D138" s="26"/>
      <c r="E138" s="27">
        <f>E49</f>
        <v>45680</v>
      </c>
      <c r="F138" s="27">
        <f>F49</f>
        <v>49834</v>
      </c>
      <c r="G138" s="48">
        <f ca="1">SUM(G135:G137)</f>
        <v>58357.653749999998</v>
      </c>
      <c r="H138" s="48">
        <f ca="1">SUM(H135:H137)</f>
        <v>67126.872141666667</v>
      </c>
      <c r="I138" s="48">
        <f ca="1">SUM(I135:I137)</f>
        <v>76040.760361672219</v>
      </c>
      <c r="J138" s="48">
        <f ca="1">SUM(J135:J137)</f>
        <v>85030.655000699437</v>
      </c>
      <c r="K138" s="48">
        <f ca="1">SUM(K135:K137)</f>
        <v>94059.81684766605</v>
      </c>
    </row>
    <row r="139" spans="3:12" x14ac:dyDescent="0.25">
      <c r="G139" s="40"/>
      <c r="H139" s="40"/>
      <c r="I139" s="40"/>
      <c r="J139" s="40"/>
      <c r="K139" s="40"/>
      <c r="L139" s="29" t="s">
        <v>97</v>
      </c>
    </row>
    <row r="140" spans="3:12" x14ac:dyDescent="0.25">
      <c r="C140" t="s">
        <v>83</v>
      </c>
      <c r="D140" s="20">
        <f>-D137/D136</f>
        <v>0.7756182133406333</v>
      </c>
      <c r="E140" s="20">
        <f>-E137/E136</f>
        <v>0.86800042341484074</v>
      </c>
      <c r="F140" s="20">
        <f>-F137/F136</f>
        <v>0.62917813605977191</v>
      </c>
      <c r="G140" s="42">
        <f>F140+$L$140</f>
        <v>0.64917813605977193</v>
      </c>
      <c r="H140" s="42">
        <f>G140+$L$140</f>
        <v>0.66917813605977194</v>
      </c>
      <c r="I140" s="42">
        <f>H140+$L$140</f>
        <v>0.68917813605977196</v>
      </c>
      <c r="J140" s="42">
        <f>I140+$L$140</f>
        <v>0.70917813605977198</v>
      </c>
      <c r="K140" s="42">
        <f>J140+$L$140</f>
        <v>0.729178136059772</v>
      </c>
      <c r="L140" s="30">
        <v>0.02</v>
      </c>
    </row>
    <row r="141" spans="3:12" x14ac:dyDescent="0.25">
      <c r="D141" s="20"/>
      <c r="E141" s="20"/>
      <c r="F141" s="20"/>
      <c r="G141" s="42"/>
      <c r="H141" s="42"/>
      <c r="I141" s="42"/>
      <c r="J141" s="42"/>
      <c r="K141" s="42"/>
      <c r="L141" s="30"/>
    </row>
    <row r="142" spans="3:12" x14ac:dyDescent="0.25">
      <c r="C142" s="104" t="s">
        <v>184</v>
      </c>
      <c r="D142" s="107"/>
      <c r="E142" s="107"/>
      <c r="F142" s="107"/>
      <c r="G142" s="108"/>
      <c r="H142" s="108"/>
      <c r="I142" s="108"/>
      <c r="J142" s="108"/>
      <c r="K142" s="108"/>
      <c r="L142" s="30"/>
    </row>
    <row r="143" spans="3:12" x14ac:dyDescent="0.25">
      <c r="C143" t="s">
        <v>185</v>
      </c>
      <c r="G143" s="109"/>
      <c r="H143" s="109"/>
      <c r="I143" s="109"/>
      <c r="J143" s="109"/>
      <c r="K143" s="109"/>
      <c r="L143" s="30"/>
    </row>
    <row r="144" spans="3:12" x14ac:dyDescent="0.25">
      <c r="C144" s="93" t="s">
        <v>186</v>
      </c>
      <c r="E144" s="32">
        <v>119128</v>
      </c>
      <c r="F144" s="32">
        <v>125848</v>
      </c>
      <c r="G144" s="109"/>
      <c r="H144" s="109"/>
      <c r="I144" s="109"/>
      <c r="J144" s="109"/>
      <c r="K144" s="109"/>
      <c r="L144" s="30"/>
    </row>
    <row r="145" spans="3:17" x14ac:dyDescent="0.25">
      <c r="C145" s="93" t="s">
        <v>187</v>
      </c>
      <c r="E145" s="32">
        <v>24690</v>
      </c>
      <c r="F145" s="32">
        <v>27337</v>
      </c>
      <c r="G145" s="109"/>
      <c r="H145" s="109"/>
      <c r="I145" s="109"/>
      <c r="J145" s="109"/>
      <c r="K145" s="109"/>
      <c r="L145" s="30"/>
    </row>
    <row r="146" spans="3:17" x14ac:dyDescent="0.25">
      <c r="C146" s="93" t="s">
        <v>188</v>
      </c>
      <c r="E146" s="32">
        <f>-(E144-E145-E147)</f>
        <v>-73448</v>
      </c>
      <c r="F146" s="32">
        <f>-(F144-F145-F147)</f>
        <v>-76014</v>
      </c>
      <c r="G146" s="109"/>
      <c r="H146" s="109"/>
      <c r="I146" s="109"/>
      <c r="J146" s="109"/>
      <c r="K146" s="109"/>
      <c r="L146" s="30"/>
      <c r="P146" s="128">
        <f>DDB(14947,0,6,1)</f>
        <v>4982.333333333333</v>
      </c>
    </row>
    <row r="147" spans="3:17" x14ac:dyDescent="0.25">
      <c r="C147" s="115" t="s">
        <v>189</v>
      </c>
      <c r="D147" s="5"/>
      <c r="E147" s="39">
        <f>E49-E145</f>
        <v>20990</v>
      </c>
      <c r="F147" s="39">
        <f>F49-F145</f>
        <v>22497</v>
      </c>
      <c r="G147" s="109"/>
      <c r="H147" s="109"/>
      <c r="I147" s="109"/>
      <c r="J147" s="109"/>
      <c r="K147" s="109"/>
      <c r="L147" s="30"/>
    </row>
    <row r="148" spans="3:17" x14ac:dyDescent="0.25">
      <c r="D148" s="20"/>
      <c r="E148" s="20"/>
      <c r="F148" s="20"/>
      <c r="G148" s="42"/>
      <c r="H148" s="42"/>
      <c r="I148" s="42"/>
      <c r="J148" s="42"/>
      <c r="K148" s="42"/>
      <c r="L148" s="30"/>
    </row>
    <row r="149" spans="3:17" x14ac:dyDescent="0.25">
      <c r="C149" s="93" t="s">
        <v>190</v>
      </c>
      <c r="D149" s="96">
        <f>IF(D150,D150,ROUND(-(F144-F145)/F137,0))</f>
        <v>12</v>
      </c>
      <c r="E149" s="20"/>
      <c r="F149" s="20"/>
      <c r="G149" s="42"/>
      <c r="H149" s="42"/>
      <c r="I149" s="42"/>
      <c r="J149" s="42"/>
      <c r="K149" s="42"/>
      <c r="L149" s="30"/>
    </row>
    <row r="150" spans="3:17" x14ac:dyDescent="0.25">
      <c r="C150" s="93" t="s">
        <v>191</v>
      </c>
      <c r="D150" s="113"/>
      <c r="E150" s="20"/>
      <c r="F150" s="20"/>
      <c r="G150" s="42"/>
      <c r="H150" s="42"/>
      <c r="I150" s="42"/>
      <c r="J150" s="42"/>
      <c r="K150" s="42"/>
      <c r="L150" s="30"/>
    </row>
    <row r="151" spans="3:17" x14ac:dyDescent="0.25">
      <c r="D151" s="20"/>
      <c r="E151" s="20"/>
      <c r="F151" s="20"/>
      <c r="G151" s="42"/>
      <c r="H151" s="42"/>
      <c r="I151" s="42"/>
      <c r="J151" s="42"/>
      <c r="K151" s="42"/>
      <c r="L151" s="30"/>
      <c r="Q151" s="128">
        <f>DDB(4000,0,20,1)</f>
        <v>400</v>
      </c>
    </row>
    <row r="152" spans="3:17" x14ac:dyDescent="0.25">
      <c r="C152" t="s">
        <v>192</v>
      </c>
      <c r="D152" s="112" t="s">
        <v>194</v>
      </c>
      <c r="E152" s="20"/>
      <c r="F152" s="20"/>
      <c r="G152" s="32">
        <f>DDB($F$147,0,$D$149,G132-$F$132)</f>
        <v>3749.5</v>
      </c>
      <c r="H152" s="32">
        <f t="shared" ref="H152:K152" si="55">DDB($F$147,0,$D$149,H132-$F$132)</f>
        <v>3124.583333333333</v>
      </c>
      <c r="I152" s="32">
        <f t="shared" si="55"/>
        <v>2603.8194444444443</v>
      </c>
      <c r="J152" s="32">
        <f t="shared" si="55"/>
        <v>2169.8495370370374</v>
      </c>
      <c r="K152" s="32">
        <f t="shared" si="55"/>
        <v>1808.2079475308647</v>
      </c>
      <c r="L152" s="30"/>
    </row>
    <row r="153" spans="3:17" x14ac:dyDescent="0.25">
      <c r="C153" t="s">
        <v>195</v>
      </c>
      <c r="D153" s="96">
        <v>1</v>
      </c>
      <c r="E153" s="96"/>
      <c r="F153" s="20"/>
      <c r="G153" s="32">
        <f ca="1">$D$153*$G$136/$D$149</f>
        <v>1115.7412499999998</v>
      </c>
      <c r="H153" s="32">
        <f t="shared" ref="H153:K153" ca="1" si="56">$G$136/$D$149</f>
        <v>1115.7412499999998</v>
      </c>
      <c r="I153" s="32">
        <f t="shared" ca="1" si="56"/>
        <v>1115.7412499999998</v>
      </c>
      <c r="J153" s="32">
        <f t="shared" ca="1" si="56"/>
        <v>1115.7412499999998</v>
      </c>
      <c r="K153" s="32">
        <f t="shared" ca="1" si="56"/>
        <v>1115.7412499999998</v>
      </c>
      <c r="L153" s="30"/>
    </row>
    <row r="154" spans="3:17" x14ac:dyDescent="0.25">
      <c r="C154" t="s">
        <v>196</v>
      </c>
      <c r="D154" s="20"/>
      <c r="E154" s="20"/>
      <c r="F154" s="20"/>
      <c r="G154" s="110"/>
      <c r="H154" s="32">
        <f ca="1">$D$153*$H$136/$D$149</f>
        <v>1182.685725</v>
      </c>
      <c r="I154" s="32">
        <f ca="1">$H$136/$D$149</f>
        <v>1182.685725</v>
      </c>
      <c r="J154" s="32">
        <f t="shared" ref="J154:K154" ca="1" si="57">$H$136/$D$149</f>
        <v>1182.685725</v>
      </c>
      <c r="K154" s="32">
        <f t="shared" ca="1" si="57"/>
        <v>1182.685725</v>
      </c>
      <c r="L154" s="30"/>
    </row>
    <row r="155" spans="3:17" x14ac:dyDescent="0.25">
      <c r="C155" t="s">
        <v>197</v>
      </c>
      <c r="D155" s="20"/>
      <c r="E155" s="20"/>
      <c r="F155" s="20"/>
      <c r="G155" s="110"/>
      <c r="H155" s="110"/>
      <c r="I155" s="32">
        <f ca="1">$D$153*$I$136/$D$149</f>
        <v>1256.0122399500001</v>
      </c>
      <c r="J155" s="32">
        <f ca="1">$I$136/$D$149</f>
        <v>1256.0122399500001</v>
      </c>
      <c r="K155" s="32">
        <f ca="1">$I$136/$D$149</f>
        <v>1256.0122399500001</v>
      </c>
      <c r="L155" s="30"/>
    </row>
    <row r="156" spans="3:17" x14ac:dyDescent="0.25">
      <c r="C156" t="s">
        <v>198</v>
      </c>
      <c r="D156" s="20"/>
      <c r="E156" s="20"/>
      <c r="F156" s="20"/>
      <c r="G156" s="110"/>
      <c r="H156" s="110"/>
      <c r="I156" s="110"/>
      <c r="J156" s="32">
        <f ca="1">$D$153*$J$136/$D$149</f>
        <v>1337.6530355467501</v>
      </c>
      <c r="K156" s="32">
        <f ca="1">$J$136/$D$149</f>
        <v>1337.6530355467501</v>
      </c>
      <c r="L156" s="30"/>
    </row>
    <row r="157" spans="3:17" x14ac:dyDescent="0.25">
      <c r="C157" t="s">
        <v>199</v>
      </c>
      <c r="D157" s="20"/>
      <c r="E157" s="20"/>
      <c r="F157" s="20"/>
      <c r="G157" s="110"/>
      <c r="H157" s="110"/>
      <c r="I157" s="110"/>
      <c r="J157" s="110"/>
      <c r="K157" s="32">
        <f ca="1">$D$153*$K$136/$D$149</f>
        <v>1429.9510949994756</v>
      </c>
      <c r="L157" s="30"/>
    </row>
    <row r="158" spans="3:17" x14ac:dyDescent="0.25">
      <c r="C158" s="5" t="s">
        <v>193</v>
      </c>
      <c r="D158" s="20"/>
      <c r="E158" s="20"/>
      <c r="F158" s="20"/>
      <c r="G158" s="111">
        <f ca="1">SUM(G152:G157)</f>
        <v>4865.24125</v>
      </c>
      <c r="H158" s="111">
        <f t="shared" ref="H158:K158" ca="1" si="58">SUM(H152:H157)</f>
        <v>5423.0103083333333</v>
      </c>
      <c r="I158" s="111">
        <f t="shared" ca="1" si="58"/>
        <v>6158.2586593944452</v>
      </c>
      <c r="J158" s="111">
        <f t="shared" ca="1" si="58"/>
        <v>7061.9417875337886</v>
      </c>
      <c r="K158" s="111">
        <f t="shared" ca="1" si="58"/>
        <v>8130.2512930270914</v>
      </c>
      <c r="L158" s="30"/>
    </row>
    <row r="159" spans="3:17" x14ac:dyDescent="0.25">
      <c r="D159" s="20"/>
      <c r="E159" s="20"/>
      <c r="F159" s="20"/>
      <c r="G159" s="42"/>
      <c r="H159" s="42"/>
      <c r="I159" s="42"/>
      <c r="J159" s="42"/>
      <c r="K159" s="42"/>
      <c r="L159" s="30"/>
    </row>
    <row r="160" spans="3:17" x14ac:dyDescent="0.25">
      <c r="D160" s="20"/>
      <c r="E160" s="20"/>
      <c r="F160" s="20"/>
      <c r="G160" s="42"/>
      <c r="H160" s="42"/>
      <c r="I160" s="42"/>
      <c r="J160" s="42"/>
      <c r="K160" s="42"/>
      <c r="L160" s="30"/>
    </row>
    <row r="161" spans="3:12" x14ac:dyDescent="0.25">
      <c r="D161" s="20"/>
      <c r="E161" s="20"/>
      <c r="F161" s="20"/>
      <c r="G161" s="42"/>
      <c r="H161" s="42"/>
      <c r="I161" s="42"/>
      <c r="J161" s="42"/>
      <c r="K161" s="42"/>
      <c r="L161" s="30"/>
    </row>
    <row r="162" spans="3:12" x14ac:dyDescent="0.25">
      <c r="G162" s="40"/>
      <c r="H162" s="40"/>
      <c r="I162" s="40"/>
      <c r="J162" s="40"/>
      <c r="K162" s="40"/>
    </row>
    <row r="163" spans="3:12" x14ac:dyDescent="0.25">
      <c r="C163" s="5" t="s">
        <v>84</v>
      </c>
      <c r="G163" s="40"/>
      <c r="H163" s="40"/>
      <c r="I163" s="40"/>
      <c r="J163" s="40"/>
      <c r="K163" s="40"/>
    </row>
    <row r="164" spans="3:12" x14ac:dyDescent="0.25">
      <c r="C164" s="9" t="s">
        <v>85</v>
      </c>
      <c r="D164" s="31">
        <f>D166+D137</f>
        <v>3019</v>
      </c>
      <c r="E164" s="31">
        <f>E166+E137</f>
        <v>3245</v>
      </c>
      <c r="F164" s="31">
        <f>F166+F137</f>
        <v>3698</v>
      </c>
      <c r="G164" s="33">
        <f ca="1">G165*G18</f>
        <v>3893.9939999999997</v>
      </c>
      <c r="H164" s="33">
        <f ca="1">H165*H18</f>
        <v>4127.63364</v>
      </c>
      <c r="I164" s="33">
        <f ca="1">I165*I18</f>
        <v>4383.5469256800006</v>
      </c>
      <c r="J164" s="33">
        <f ca="1">J165*J18</f>
        <v>4668.4774758492003</v>
      </c>
      <c r="K164" s="33">
        <f ca="1">K165*K18</f>
        <v>4990.6024216827955</v>
      </c>
    </row>
    <row r="165" spans="3:12" x14ac:dyDescent="0.25">
      <c r="C165" t="s">
        <v>86</v>
      </c>
      <c r="D165" s="20">
        <f>D164/D18</f>
        <v>7.8766453161485585E-3</v>
      </c>
      <c r="E165" s="20">
        <f>E164/E18</f>
        <v>8.2984899049957164E-3</v>
      </c>
      <c r="F165" s="20">
        <f>F164/F18</f>
        <v>8.8859840302190733E-3</v>
      </c>
      <c r="G165" s="42">
        <f>F165</f>
        <v>8.8859840302190733E-3</v>
      </c>
      <c r="H165" s="42">
        <f>G165</f>
        <v>8.8859840302190733E-3</v>
      </c>
      <c r="I165" s="42">
        <f>H165</f>
        <v>8.8859840302190733E-3</v>
      </c>
      <c r="J165" s="42">
        <f>I165</f>
        <v>8.8859840302190733E-3</v>
      </c>
      <c r="K165" s="42">
        <f>J165</f>
        <v>8.8859840302190733E-3</v>
      </c>
    </row>
    <row r="166" spans="3:12" x14ac:dyDescent="0.25">
      <c r="C166" s="5" t="s">
        <v>87</v>
      </c>
      <c r="D166" s="18">
        <f>D29</f>
        <v>11519</v>
      </c>
      <c r="E166" s="18">
        <f>E29</f>
        <v>11445</v>
      </c>
      <c r="F166" s="18">
        <f>F29</f>
        <v>11698</v>
      </c>
      <c r="G166" s="39">
        <f ca="1">G164-G137</f>
        <v>8759.2352499999997</v>
      </c>
      <c r="H166" s="39">
        <f ca="1">H164-H137</f>
        <v>9550.6439483333343</v>
      </c>
      <c r="I166" s="39">
        <f ca="1">I164-I137</f>
        <v>10541.805585074446</v>
      </c>
      <c r="J166" s="39">
        <f ca="1">J164-J137</f>
        <v>11730.419263382988</v>
      </c>
      <c r="K166" s="39">
        <f ca="1">K164-K137</f>
        <v>13120.853714709887</v>
      </c>
    </row>
    <row r="167" spans="3:12" x14ac:dyDescent="0.25">
      <c r="G167" s="40"/>
      <c r="H167" s="40"/>
      <c r="I167" s="40"/>
      <c r="J167" s="40"/>
      <c r="K167" s="40"/>
    </row>
    <row r="168" spans="3:12" x14ac:dyDescent="0.25">
      <c r="C168" s="5" t="s">
        <v>88</v>
      </c>
      <c r="G168" s="40"/>
      <c r="H168" s="40"/>
      <c r="I168" s="40"/>
      <c r="J168" s="40"/>
      <c r="K168" s="40"/>
    </row>
    <row r="169" spans="3:12" x14ac:dyDescent="0.25">
      <c r="C169" s="9" t="s">
        <v>79</v>
      </c>
      <c r="D169" s="9"/>
      <c r="E169" s="9"/>
      <c r="F169" s="33">
        <f t="shared" ref="F169:K169" si="59">E172</f>
        <v>74834</v>
      </c>
      <c r="G169" s="33">
        <f t="shared" si="59"/>
        <v>83727</v>
      </c>
      <c r="H169" s="33">
        <f t="shared" ca="1" si="59"/>
        <v>88164.530999999988</v>
      </c>
      <c r="I169" s="33">
        <f t="shared" ca="1" si="59"/>
        <v>93454.402859999987</v>
      </c>
      <c r="J169" s="33">
        <f t="shared" ca="1" si="59"/>
        <v>99248.575837319993</v>
      </c>
      <c r="K169" s="33">
        <f t="shared" ca="1" si="59"/>
        <v>105699.73326674578</v>
      </c>
    </row>
    <row r="170" spans="3:12" x14ac:dyDescent="0.25">
      <c r="C170" t="s">
        <v>89</v>
      </c>
      <c r="F170" s="17">
        <f t="shared" ref="F170:K170" si="60">-F164</f>
        <v>-3698</v>
      </c>
      <c r="G170" s="32">
        <f t="shared" ca="1" si="60"/>
        <v>-3893.9939999999997</v>
      </c>
      <c r="H170" s="32">
        <f t="shared" ca="1" si="60"/>
        <v>-4127.63364</v>
      </c>
      <c r="I170" s="32">
        <f t="shared" ca="1" si="60"/>
        <v>-4383.5469256800006</v>
      </c>
      <c r="J170" s="32">
        <f t="shared" ca="1" si="60"/>
        <v>-4668.4774758492003</v>
      </c>
      <c r="K170" s="32">
        <f t="shared" ca="1" si="60"/>
        <v>-4990.6024216827955</v>
      </c>
    </row>
    <row r="171" spans="3:12" x14ac:dyDescent="0.25">
      <c r="C171" t="s">
        <v>90</v>
      </c>
      <c r="F171" s="32">
        <f t="shared" ref="F171:K171" si="61">F172-F169-F170</f>
        <v>12591</v>
      </c>
      <c r="G171" s="32">
        <f t="shared" ca="1" si="61"/>
        <v>8331.5249999999869</v>
      </c>
      <c r="H171" s="32">
        <f t="shared" ca="1" si="61"/>
        <v>9417.5054999999993</v>
      </c>
      <c r="I171" s="32">
        <f t="shared" ca="1" si="61"/>
        <v>10177.719903000007</v>
      </c>
      <c r="J171" s="32">
        <f t="shared" ca="1" si="61"/>
        <v>11119.634905274988</v>
      </c>
      <c r="K171" s="32">
        <f t="shared" ca="1" si="61"/>
        <v>12283.884017088249</v>
      </c>
    </row>
    <row r="172" spans="3:12" x14ac:dyDescent="0.25">
      <c r="C172" s="26" t="s">
        <v>82</v>
      </c>
      <c r="D172" s="27">
        <f t="shared" ref="D172:K172" si="62">D50</f>
        <v>0</v>
      </c>
      <c r="E172" s="27">
        <f t="shared" si="62"/>
        <v>74834</v>
      </c>
      <c r="F172" s="27">
        <f t="shared" si="62"/>
        <v>83727</v>
      </c>
      <c r="G172" s="48">
        <f t="shared" ca="1" si="62"/>
        <v>88164.530999999988</v>
      </c>
      <c r="H172" s="48">
        <f t="shared" ca="1" si="62"/>
        <v>93454.402859999987</v>
      </c>
      <c r="I172" s="48">
        <f t="shared" ca="1" si="62"/>
        <v>99248.575837319993</v>
      </c>
      <c r="J172" s="48">
        <f t="shared" ca="1" si="62"/>
        <v>105699.73326674578</v>
      </c>
      <c r="K172" s="48">
        <f t="shared" ca="1" si="62"/>
        <v>112993.01486215123</v>
      </c>
    </row>
    <row r="173" spans="3:12" x14ac:dyDescent="0.25">
      <c r="G173" s="40"/>
      <c r="H173" s="40"/>
      <c r="I173" s="40"/>
      <c r="J173" s="40"/>
      <c r="K173" s="40"/>
    </row>
    <row r="174" spans="3:12" x14ac:dyDescent="0.25">
      <c r="C174" s="5" t="s">
        <v>91</v>
      </c>
      <c r="G174" s="40"/>
      <c r="H174" s="40"/>
      <c r="I174" s="40"/>
      <c r="J174" s="40"/>
      <c r="K174" s="40"/>
    </row>
    <row r="175" spans="3:12" x14ac:dyDescent="0.25">
      <c r="C175" s="9" t="s">
        <v>79</v>
      </c>
      <c r="D175" s="9"/>
      <c r="E175" s="9"/>
      <c r="F175" s="9"/>
      <c r="G175" s="33">
        <f>F179</f>
        <v>-14264</v>
      </c>
      <c r="H175" s="33">
        <f ca="1">G179</f>
        <v>-13490.627821883012</v>
      </c>
      <c r="I175" s="33">
        <f ca="1">H179</f>
        <v>-2168.6004069229675</v>
      </c>
      <c r="J175" s="33">
        <f ca="1">I179</f>
        <v>15313.990721468552</v>
      </c>
      <c r="K175" s="33">
        <f ca="1">J179</f>
        <v>40650.007242347347</v>
      </c>
    </row>
    <row r="176" spans="3:12" x14ac:dyDescent="0.25">
      <c r="C176" t="s">
        <v>92</v>
      </c>
      <c r="D176" s="17">
        <f t="shared" ref="D176:K176" si="63">D27</f>
        <v>96995</v>
      </c>
      <c r="E176" s="17">
        <f t="shared" si="63"/>
        <v>93198</v>
      </c>
      <c r="F176" s="17">
        <f t="shared" si="63"/>
        <v>112010</v>
      </c>
      <c r="G176" s="32">
        <f t="shared" ca="1" si="63"/>
        <v>106238.37217811699</v>
      </c>
      <c r="H176" s="32">
        <f t="shared" ca="1" si="63"/>
        <v>116787.02741496004</v>
      </c>
      <c r="I176" s="32">
        <f t="shared" ca="1" si="63"/>
        <v>122947.59112839152</v>
      </c>
      <c r="J176" s="32">
        <f t="shared" ca="1" si="63"/>
        <v>130801.01652087879</v>
      </c>
      <c r="K176" s="32">
        <f t="shared" ca="1" si="63"/>
        <v>139844.89182081944</v>
      </c>
    </row>
    <row r="177" spans="3:11" x14ac:dyDescent="0.25">
      <c r="C177" t="s">
        <v>93</v>
      </c>
      <c r="D177" s="15">
        <v>-14996</v>
      </c>
      <c r="E177" s="15">
        <v>-15218</v>
      </c>
      <c r="F177" s="15">
        <v>-15413</v>
      </c>
      <c r="G177" s="32">
        <f>F177</f>
        <v>-15413</v>
      </c>
      <c r="H177" s="32">
        <f t="shared" ref="H177:K177" si="64">G177</f>
        <v>-15413</v>
      </c>
      <c r="I177" s="32">
        <f t="shared" si="64"/>
        <v>-15413</v>
      </c>
      <c r="J177" s="32">
        <f t="shared" si="64"/>
        <v>-15413</v>
      </c>
      <c r="K177" s="32">
        <f t="shared" si="64"/>
        <v>-15413</v>
      </c>
    </row>
    <row r="178" spans="3:11" x14ac:dyDescent="0.25">
      <c r="C178" t="s">
        <v>94</v>
      </c>
      <c r="D178" s="15">
        <v>-77046</v>
      </c>
      <c r="E178" s="15">
        <v>-95846</v>
      </c>
      <c r="F178" s="15">
        <v>-90052</v>
      </c>
      <c r="G178" s="32">
        <f>F178</f>
        <v>-90052</v>
      </c>
      <c r="H178" s="32">
        <f t="shared" ref="H178:K178" si="65">G178</f>
        <v>-90052</v>
      </c>
      <c r="I178" s="32">
        <f t="shared" si="65"/>
        <v>-90052</v>
      </c>
      <c r="J178" s="32">
        <f t="shared" si="65"/>
        <v>-90052</v>
      </c>
      <c r="K178" s="32">
        <f t="shared" si="65"/>
        <v>-90052</v>
      </c>
    </row>
    <row r="179" spans="3:11" x14ac:dyDescent="0.25">
      <c r="C179" s="26" t="s">
        <v>82</v>
      </c>
      <c r="D179" s="26"/>
      <c r="E179" s="27">
        <f>E62</f>
        <v>-19154</v>
      </c>
      <c r="F179" s="27">
        <f>F62</f>
        <v>-14264</v>
      </c>
      <c r="G179" s="48">
        <f ca="1">SUM(G175:G178)</f>
        <v>-13490.627821883012</v>
      </c>
      <c r="H179" s="48">
        <f ca="1">SUM(H175:H178)</f>
        <v>-2168.6004069229675</v>
      </c>
      <c r="I179" s="48">
        <f ca="1">SUM(I175:I178)</f>
        <v>15313.990721468552</v>
      </c>
      <c r="J179" s="48">
        <f ca="1">SUM(J175:J178)</f>
        <v>40650.007242347347</v>
      </c>
      <c r="K179" s="48">
        <f ca="1">SUM(K175:K178)</f>
        <v>75029.899063166784</v>
      </c>
    </row>
    <row r="180" spans="3:11" x14ac:dyDescent="0.25">
      <c r="G180" s="40"/>
      <c r="H180" s="40"/>
      <c r="I180" s="40"/>
      <c r="J180" s="40"/>
      <c r="K180" s="40"/>
    </row>
    <row r="181" spans="3:11" x14ac:dyDescent="0.25">
      <c r="C181" t="s">
        <v>95</v>
      </c>
      <c r="D181" s="20">
        <f t="shared" ref="D181:E181" si="66">-D177/D176</f>
        <v>0.15460590752100623</v>
      </c>
      <c r="E181" s="20">
        <f t="shared" si="66"/>
        <v>0.16328676581042512</v>
      </c>
      <c r="F181" s="20">
        <f>-F177/F176</f>
        <v>0.13760378537630569</v>
      </c>
      <c r="G181" s="49">
        <f>F181</f>
        <v>0.13760378537630569</v>
      </c>
      <c r="H181" s="49">
        <f t="shared" ref="H181:K181" si="67">G181</f>
        <v>0.13760378537630569</v>
      </c>
      <c r="I181" s="49">
        <f t="shared" si="67"/>
        <v>0.13760378537630569</v>
      </c>
      <c r="J181" s="49">
        <f t="shared" si="67"/>
        <v>0.13760378537630569</v>
      </c>
      <c r="K181" s="49">
        <f t="shared" si="67"/>
        <v>0.13760378537630569</v>
      </c>
    </row>
    <row r="182" spans="3:11" x14ac:dyDescent="0.25">
      <c r="C182" t="s">
        <v>96</v>
      </c>
      <c r="D182" s="20">
        <f t="shared" ref="D182:E182" si="68">-D178/D176</f>
        <v>0.79432960461879476</v>
      </c>
      <c r="E182" s="20">
        <f t="shared" si="68"/>
        <v>1.0284126268804052</v>
      </c>
      <c r="F182" s="20">
        <f>-F178/F176</f>
        <v>0.80396393179180425</v>
      </c>
      <c r="G182" s="42">
        <f t="shared" ref="G182:K182" ca="1" si="69">-G178/G176</f>
        <v>0.84764099970414397</v>
      </c>
      <c r="H182" s="42">
        <f t="shared" ca="1" si="69"/>
        <v>0.77107879182533789</v>
      </c>
      <c r="I182" s="42">
        <f t="shared" ca="1" si="69"/>
        <v>0.73244216640211057</v>
      </c>
      <c r="J182" s="42">
        <f t="shared" ca="1" si="69"/>
        <v>0.68846559755616021</v>
      </c>
      <c r="K182" s="42">
        <f t="shared" ca="1" si="69"/>
        <v>0.64394200479901609</v>
      </c>
    </row>
    <row r="183" spans="3:11" x14ac:dyDescent="0.25">
      <c r="G183" s="40"/>
      <c r="H183" s="40"/>
      <c r="I183" s="40"/>
      <c r="J183" s="40"/>
      <c r="K183" s="40"/>
    </row>
    <row r="184" spans="3:11" x14ac:dyDescent="0.25">
      <c r="C184" s="5" t="s">
        <v>98</v>
      </c>
      <c r="G184" s="40"/>
      <c r="H184" s="40"/>
      <c r="I184" s="40"/>
      <c r="J184" s="40"/>
      <c r="K184" s="40"/>
    </row>
    <row r="185" spans="3:11" x14ac:dyDescent="0.25">
      <c r="C185" s="9" t="s">
        <v>11</v>
      </c>
      <c r="D185" s="10">
        <f ca="1">E185-1</f>
        <v>2023</v>
      </c>
      <c r="E185" s="10">
        <f t="shared" ref="E185:G185" ca="1" si="70">F185-1</f>
        <v>2024</v>
      </c>
      <c r="F185" s="10">
        <f t="shared" ca="1" si="70"/>
        <v>2025</v>
      </c>
      <c r="G185" s="43">
        <f t="shared" ca="1" si="70"/>
        <v>2026</v>
      </c>
      <c r="H185" s="43">
        <f ca="1">G185+1</f>
        <v>2027</v>
      </c>
      <c r="I185" s="43">
        <f ca="1">H185+1</f>
        <v>2028</v>
      </c>
      <c r="J185" s="43">
        <f ca="1">I185+1</f>
        <v>2029</v>
      </c>
      <c r="K185" s="43">
        <f ca="1">J185+1</f>
        <v>2030</v>
      </c>
    </row>
    <row r="186" spans="3:11" x14ac:dyDescent="0.25">
      <c r="C186" s="11" t="s">
        <v>12</v>
      </c>
      <c r="D186" s="12">
        <f>EOMONTH(E186,-12)</f>
        <v>45199</v>
      </c>
      <c r="E186" s="12">
        <f>EOMONTH(F186,-12)</f>
        <v>45565</v>
      </c>
      <c r="F186" s="12">
        <f>F16</f>
        <v>45927</v>
      </c>
      <c r="G186" s="44">
        <f>G16</f>
        <v>46295</v>
      </c>
      <c r="H186" s="44">
        <f>EOMONTH(G186,12)</f>
        <v>46660</v>
      </c>
      <c r="I186" s="44">
        <f>EOMONTH(H186,12)</f>
        <v>47026</v>
      </c>
      <c r="J186" s="44">
        <f>EOMONTH(I186,12)</f>
        <v>47391</v>
      </c>
      <c r="K186" s="44">
        <f>EOMONTH(J186,12)</f>
        <v>47756</v>
      </c>
    </row>
    <row r="187" spans="3:11" x14ac:dyDescent="0.25">
      <c r="G187" s="40"/>
      <c r="H187" s="40"/>
      <c r="I187" s="40"/>
      <c r="J187" s="40"/>
      <c r="K187" s="40"/>
    </row>
    <row r="188" spans="3:11" x14ac:dyDescent="0.25">
      <c r="C188" s="19" t="s">
        <v>99</v>
      </c>
      <c r="G188" s="40"/>
      <c r="H188" s="40"/>
      <c r="I188" s="40"/>
      <c r="J188" s="40"/>
      <c r="K188" s="40"/>
    </row>
    <row r="189" spans="3:11" x14ac:dyDescent="0.25">
      <c r="C189" t="s">
        <v>100</v>
      </c>
      <c r="G189" s="32">
        <f>F44</f>
        <v>132420</v>
      </c>
      <c r="H189" s="32">
        <f ca="1">G44</f>
        <v>129327.19879304199</v>
      </c>
      <c r="I189" s="32">
        <f ca="1">H44</f>
        <v>156563.71455078907</v>
      </c>
      <c r="J189" s="32">
        <f ca="1">I44</f>
        <v>169860.40123069281</v>
      </c>
      <c r="K189" s="32">
        <f ca="1">J44</f>
        <v>214430.50065559102</v>
      </c>
    </row>
    <row r="190" spans="3:11" x14ac:dyDescent="0.25">
      <c r="C190" t="s">
        <v>103</v>
      </c>
      <c r="G190" s="35">
        <v>-50000</v>
      </c>
      <c r="H190" s="35">
        <v>-50000</v>
      </c>
      <c r="I190" s="35">
        <v>-50000</v>
      </c>
      <c r="J190" s="35">
        <v>-50000</v>
      </c>
      <c r="K190" s="35">
        <v>-50000</v>
      </c>
    </row>
    <row r="191" spans="3:11" x14ac:dyDescent="0.25">
      <c r="C191" t="s">
        <v>102</v>
      </c>
      <c r="G191" s="32">
        <f ca="1">G79+G82+G84+G86+G87</f>
        <v>-3113.8012069580145</v>
      </c>
      <c r="H191" s="32">
        <f ca="1">H79+H82+H84+H86+H87</f>
        <v>27236.515757747082</v>
      </c>
      <c r="I191" s="32">
        <f ca="1">I79+I82+I84+I86+I87</f>
        <v>13296.686679903723</v>
      </c>
      <c r="J191" s="32">
        <f ca="1">J79+J82+J84+J86+J87</f>
        <v>44570.099424898217</v>
      </c>
      <c r="K191" s="32">
        <f ca="1">K79+K82+K84+K86+K87</f>
        <v>31797.655212434591</v>
      </c>
    </row>
    <row r="192" spans="3:11" x14ac:dyDescent="0.25">
      <c r="C192" s="26" t="s">
        <v>101</v>
      </c>
      <c r="D192" s="26"/>
      <c r="E192" s="26"/>
      <c r="F192" s="26"/>
      <c r="G192" s="48">
        <f ca="1">SUM(G189:G191)</f>
        <v>79306.198793041985</v>
      </c>
      <c r="H192" s="48">
        <f t="shared" ref="H192:K192" ca="1" si="71">SUM(H189:H191)</f>
        <v>106563.71455078907</v>
      </c>
      <c r="I192" s="48">
        <f t="shared" ca="1" si="71"/>
        <v>119860.40123069279</v>
      </c>
      <c r="J192" s="48">
        <f t="shared" ca="1" si="71"/>
        <v>164430.50065559102</v>
      </c>
      <c r="K192" s="48">
        <f t="shared" ca="1" si="71"/>
        <v>196228.15586802561</v>
      </c>
    </row>
    <row r="193" spans="3:15" x14ac:dyDescent="0.25">
      <c r="G193" s="40"/>
      <c r="H193" s="40"/>
      <c r="I193" s="40"/>
      <c r="J193" s="40"/>
      <c r="K193" s="40"/>
    </row>
    <row r="194" spans="3:15" x14ac:dyDescent="0.25">
      <c r="C194" s="5" t="s">
        <v>44</v>
      </c>
      <c r="G194" s="40"/>
      <c r="H194" s="40"/>
      <c r="I194" s="40"/>
      <c r="J194" s="40"/>
      <c r="K194" s="40"/>
    </row>
    <row r="195" spans="3:15" x14ac:dyDescent="0.25">
      <c r="C195" t="s">
        <v>79</v>
      </c>
      <c r="G195" s="32">
        <f>F198</f>
        <v>7979</v>
      </c>
      <c r="H195" s="32">
        <f t="shared" ref="H195:K195" ca="1" si="72">G198</f>
        <v>8000</v>
      </c>
      <c r="I195" s="32">
        <f t="shared" ca="1" si="72"/>
        <v>8000</v>
      </c>
      <c r="J195" s="32">
        <f t="shared" ca="1" si="72"/>
        <v>8000</v>
      </c>
      <c r="K195" s="32">
        <f t="shared" ca="1" si="72"/>
        <v>8000</v>
      </c>
    </row>
    <row r="196" spans="3:15" x14ac:dyDescent="0.25">
      <c r="C196" t="s">
        <v>104</v>
      </c>
      <c r="G196" s="32">
        <f ca="1">-MIN(G195,G192)</f>
        <v>-7979</v>
      </c>
      <c r="H196" s="32">
        <f t="shared" ref="H196:K196" ca="1" si="73">-MIN(H195,H192)</f>
        <v>-8000</v>
      </c>
      <c r="I196" s="32">
        <f t="shared" ca="1" si="73"/>
        <v>-8000</v>
      </c>
      <c r="J196" s="32">
        <f t="shared" ca="1" si="73"/>
        <v>-8000</v>
      </c>
      <c r="K196" s="32">
        <f t="shared" ca="1" si="73"/>
        <v>-8000</v>
      </c>
    </row>
    <row r="197" spans="3:15" x14ac:dyDescent="0.25">
      <c r="C197" t="s">
        <v>105</v>
      </c>
      <c r="G197" s="35">
        <v>8000</v>
      </c>
      <c r="H197" s="35">
        <v>8000</v>
      </c>
      <c r="I197" s="35">
        <v>8000</v>
      </c>
      <c r="J197" s="35">
        <v>8000</v>
      </c>
      <c r="K197" s="35">
        <v>8000</v>
      </c>
    </row>
    <row r="198" spans="3:15" x14ac:dyDescent="0.25">
      <c r="C198" s="26" t="s">
        <v>82</v>
      </c>
      <c r="D198" s="26"/>
      <c r="E198" s="27">
        <f>E56</f>
        <v>9967</v>
      </c>
      <c r="F198" s="27">
        <f>F56</f>
        <v>7979</v>
      </c>
      <c r="G198" s="48">
        <f ca="1">SUM(G195:G197)</f>
        <v>8000</v>
      </c>
      <c r="H198" s="48">
        <f t="shared" ref="H198:K198" ca="1" si="74">SUM(H195:H197)</f>
        <v>8000</v>
      </c>
      <c r="I198" s="48">
        <f t="shared" ca="1" si="74"/>
        <v>8000</v>
      </c>
      <c r="J198" s="48">
        <f t="shared" ca="1" si="74"/>
        <v>8000</v>
      </c>
      <c r="K198" s="48">
        <f t="shared" ca="1" si="74"/>
        <v>8000</v>
      </c>
    </row>
    <row r="200" spans="3:15" x14ac:dyDescent="0.25">
      <c r="C200" s="5" t="s">
        <v>112</v>
      </c>
      <c r="N200" s="117" t="s">
        <v>114</v>
      </c>
      <c r="O200" s="118"/>
    </row>
    <row r="201" spans="3:15" x14ac:dyDescent="0.25">
      <c r="C201" s="9" t="s">
        <v>11</v>
      </c>
      <c r="D201" s="10">
        <f ca="1">E201-1</f>
        <v>2023</v>
      </c>
      <c r="E201" s="10">
        <f t="shared" ref="E201" ca="1" si="75">F201-1</f>
        <v>2024</v>
      </c>
      <c r="F201" s="10">
        <f t="shared" ref="F201" ca="1" si="76">G201-1</f>
        <v>2025</v>
      </c>
      <c r="G201" s="43">
        <f t="shared" ref="G201" ca="1" si="77">H201-1</f>
        <v>2026</v>
      </c>
      <c r="H201" s="23">
        <f ca="1">G201+1</f>
        <v>2027</v>
      </c>
      <c r="I201" s="23">
        <f ca="1">H201+1</f>
        <v>2028</v>
      </c>
      <c r="J201" s="23">
        <f ca="1">I201+1</f>
        <v>2029</v>
      </c>
      <c r="K201" s="23">
        <f ca="1">J201+1</f>
        <v>2030</v>
      </c>
      <c r="N201" s="119"/>
      <c r="O201" s="119"/>
    </row>
    <row r="202" spans="3:15" x14ac:dyDescent="0.25">
      <c r="C202" s="11" t="s">
        <v>12</v>
      </c>
      <c r="D202" s="12">
        <f>EOMONTH(E202,-12)</f>
        <v>45199</v>
      </c>
      <c r="E202" s="12">
        <f>EOMONTH(F202,-12)</f>
        <v>45565</v>
      </c>
      <c r="F202" s="12">
        <f>F16</f>
        <v>45927</v>
      </c>
      <c r="G202" s="12">
        <f ca="1">G32</f>
        <v>157708.07653699999</v>
      </c>
      <c r="H202" s="12">
        <f ca="1">EOMONTH(G202,12)</f>
        <v>158090</v>
      </c>
      <c r="I202" s="12">
        <f ca="1">EOMONTH(H202,12)</f>
        <v>158455</v>
      </c>
      <c r="J202" s="12">
        <f ca="1">EOMONTH(I202,12)</f>
        <v>158820</v>
      </c>
      <c r="K202" s="12">
        <f ca="1">EOMONTH(J202,12)</f>
        <v>159185</v>
      </c>
      <c r="N202" s="119"/>
      <c r="O202" s="119"/>
    </row>
    <row r="203" spans="3:15" x14ac:dyDescent="0.25">
      <c r="N203" s="119"/>
      <c r="O203" s="119"/>
    </row>
    <row r="204" spans="3:15" x14ac:dyDescent="0.25">
      <c r="C204" t="s">
        <v>107</v>
      </c>
      <c r="D204" s="17">
        <f>-D24</f>
        <v>565</v>
      </c>
      <c r="E204" s="17">
        <f>-E24</f>
        <v>269</v>
      </c>
      <c r="F204" s="17">
        <f>-F24</f>
        <v>321</v>
      </c>
      <c r="N204" s="119"/>
      <c r="O204" s="119"/>
    </row>
    <row r="205" spans="3:15" x14ac:dyDescent="0.25">
      <c r="N205" s="119"/>
      <c r="O205" s="119"/>
    </row>
    <row r="206" spans="3:15" x14ac:dyDescent="0.25">
      <c r="C206" s="36" t="s">
        <v>44</v>
      </c>
      <c r="N206" s="119"/>
      <c r="O206" s="119"/>
    </row>
    <row r="207" spans="3:15" x14ac:dyDescent="0.25">
      <c r="C207" t="s">
        <v>108</v>
      </c>
      <c r="E207" s="30">
        <v>0.05</v>
      </c>
      <c r="F207" s="30">
        <v>4.19E-2</v>
      </c>
      <c r="G207" s="22">
        <v>4.19E-2</v>
      </c>
      <c r="H207" s="22">
        <v>4.19E-2</v>
      </c>
      <c r="I207" s="22">
        <v>4.19E-2</v>
      </c>
      <c r="J207" s="22">
        <v>4.19E-2</v>
      </c>
      <c r="K207" s="22">
        <v>4.19E-2</v>
      </c>
      <c r="N207" s="119"/>
      <c r="O207" s="119"/>
    </row>
    <row r="208" spans="3:15" x14ac:dyDescent="0.25">
      <c r="C208" t="s">
        <v>109</v>
      </c>
      <c r="E208" s="17">
        <f t="shared" ref="E208:K208" si="78">E56</f>
        <v>9967</v>
      </c>
      <c r="F208" s="17">
        <f t="shared" si="78"/>
        <v>7979</v>
      </c>
      <c r="G208" s="17">
        <f t="shared" ca="1" si="78"/>
        <v>8000</v>
      </c>
      <c r="H208" s="17">
        <f t="shared" ca="1" si="78"/>
        <v>8000</v>
      </c>
      <c r="I208" s="17">
        <f t="shared" ca="1" si="78"/>
        <v>8000</v>
      </c>
      <c r="J208" s="17">
        <f t="shared" ca="1" si="78"/>
        <v>8000</v>
      </c>
      <c r="K208" s="17">
        <f t="shared" ca="1" si="78"/>
        <v>8000</v>
      </c>
      <c r="N208" s="119"/>
      <c r="O208" s="119"/>
    </row>
    <row r="209" spans="3:15" x14ac:dyDescent="0.25">
      <c r="C209" s="26" t="s">
        <v>110</v>
      </c>
      <c r="D209" s="38"/>
      <c r="E209" s="27">
        <f>AVERAGE(E208,D208)*E207</f>
        <v>498.35</v>
      </c>
      <c r="F209" s="27">
        <f>AVERAGE(F208,E208)*F207</f>
        <v>375.96870000000001</v>
      </c>
      <c r="G209" s="27">
        <f t="shared" ref="G209:K209" ca="1" si="79">AVERAGE(G208,F208)*G207</f>
        <v>334.76004999999998</v>
      </c>
      <c r="H209" s="27">
        <f t="shared" ca="1" si="79"/>
        <v>335.2</v>
      </c>
      <c r="I209" s="27">
        <f t="shared" ca="1" si="79"/>
        <v>335.2</v>
      </c>
      <c r="J209" s="27">
        <f t="shared" ca="1" si="79"/>
        <v>335.2</v>
      </c>
      <c r="K209" s="27">
        <f t="shared" ca="1" si="79"/>
        <v>335.2</v>
      </c>
      <c r="N209" s="119"/>
      <c r="O209" s="119"/>
    </row>
    <row r="210" spans="3:15" x14ac:dyDescent="0.25">
      <c r="N210" s="119"/>
      <c r="O210" s="119"/>
    </row>
    <row r="211" spans="3:15" x14ac:dyDescent="0.25">
      <c r="C211" s="36" t="s">
        <v>111</v>
      </c>
      <c r="N211" s="119"/>
      <c r="O211" s="119"/>
    </row>
    <row r="212" spans="3:15" x14ac:dyDescent="0.25">
      <c r="C212" t="s">
        <v>109</v>
      </c>
      <c r="E212" s="17">
        <f t="shared" ref="E212:K212" si="80">E57</f>
        <v>96662</v>
      </c>
      <c r="F212" s="17">
        <f t="shared" si="80"/>
        <v>90678</v>
      </c>
      <c r="G212" s="17">
        <f t="shared" si="80"/>
        <v>90678</v>
      </c>
      <c r="H212" s="17">
        <f t="shared" si="80"/>
        <v>90678</v>
      </c>
      <c r="I212" s="17">
        <f t="shared" si="80"/>
        <v>90678</v>
      </c>
      <c r="J212" s="17">
        <f t="shared" si="80"/>
        <v>90678</v>
      </c>
      <c r="K212" s="17">
        <f t="shared" si="80"/>
        <v>90678</v>
      </c>
      <c r="N212" s="119"/>
      <c r="O212" s="119"/>
    </row>
    <row r="213" spans="3:15" x14ac:dyDescent="0.25">
      <c r="C213" t="s">
        <v>108</v>
      </c>
      <c r="N213" s="119"/>
      <c r="O213" s="119"/>
    </row>
    <row r="214" spans="3:15" x14ac:dyDescent="0.25">
      <c r="C214" s="26" t="s">
        <v>110</v>
      </c>
      <c r="D214" s="38"/>
      <c r="E214" s="38"/>
      <c r="F214" s="38"/>
      <c r="G214" s="38"/>
      <c r="H214" s="38"/>
      <c r="I214" s="38"/>
      <c r="J214" s="38"/>
      <c r="K214" s="38"/>
      <c r="N214" s="119"/>
      <c r="O214" s="119"/>
    </row>
    <row r="215" spans="3:15" x14ac:dyDescent="0.25">
      <c r="N215" s="119"/>
      <c r="O215" s="119"/>
    </row>
    <row r="216" spans="3:15" x14ac:dyDescent="0.25">
      <c r="C216" s="36" t="s">
        <v>113</v>
      </c>
      <c r="N216" s="119"/>
      <c r="O216" s="119"/>
    </row>
    <row r="217" spans="3:15" x14ac:dyDescent="0.25">
      <c r="C217" t="s">
        <v>58</v>
      </c>
      <c r="E217" s="30">
        <v>4.1799999999999997E-2</v>
      </c>
      <c r="F217" s="30">
        <v>4.1700000000000001E-2</v>
      </c>
      <c r="G217" s="37">
        <v>4.1700000000000001E-2</v>
      </c>
      <c r="H217" s="37">
        <v>4.1700000000000001E-2</v>
      </c>
      <c r="I217" s="37">
        <v>4.1700000000000001E-2</v>
      </c>
      <c r="J217" s="37">
        <v>4.1700000000000001E-2</v>
      </c>
      <c r="K217" s="37">
        <v>4.1700000000000001E-2</v>
      </c>
      <c r="N217" s="119"/>
      <c r="O217" s="119"/>
    </row>
    <row r="218" spans="3:15" x14ac:dyDescent="0.25">
      <c r="C218" s="5" t="s">
        <v>113</v>
      </c>
      <c r="D218" s="5"/>
      <c r="E218" s="5"/>
      <c r="F218" s="5"/>
      <c r="G218" s="18">
        <f ca="1">AVERAGE(G44,F44)*G217</f>
        <v>5457.4290948349253</v>
      </c>
      <c r="H218" s="18">
        <f ca="1">AVERAGE(H44,G44)*H217</f>
        <v>5960.825543218878</v>
      </c>
      <c r="I218" s="18">
        <f ca="1">AVERAGE(I44,H44)*I217</f>
        <v>6805.9428140438968</v>
      </c>
      <c r="J218" s="18">
        <f ca="1">AVERAGE(J44,I44)*J217</f>
        <v>8012.4653043290182</v>
      </c>
      <c r="K218" s="18">
        <f ca="1">AVERAGE(K44,J44)*K217</f>
        <v>9604.7329885174076</v>
      </c>
      <c r="N218" s="120"/>
      <c r="O218" s="120"/>
    </row>
    <row r="221" spans="3:15" x14ac:dyDescent="0.25">
      <c r="C221" s="51" t="s">
        <v>115</v>
      </c>
      <c r="D221" s="51"/>
      <c r="E221" s="51"/>
      <c r="F221" s="51"/>
      <c r="G221" s="51"/>
      <c r="H221" s="51"/>
      <c r="I221" s="51"/>
      <c r="J221" s="51"/>
      <c r="K221" s="51"/>
    </row>
    <row r="223" spans="3:15" ht="15.75" thickBot="1" x14ac:dyDescent="0.3">
      <c r="C223" s="52" t="s">
        <v>116</v>
      </c>
      <c r="D223" s="53"/>
      <c r="E223" s="53"/>
      <c r="F223" s="53"/>
      <c r="G223" s="53"/>
      <c r="H223" s="53"/>
      <c r="I223" s="53"/>
    </row>
    <row r="224" spans="3:15" x14ac:dyDescent="0.25">
      <c r="E224" s="121" t="s">
        <v>28</v>
      </c>
      <c r="F224" s="121"/>
      <c r="G224" s="121"/>
      <c r="H224" s="121"/>
      <c r="I224" s="121"/>
    </row>
    <row r="225" spans="3:15" x14ac:dyDescent="0.25">
      <c r="D225" s="55">
        <f ca="1">G27</f>
        <v>106238.37217811699</v>
      </c>
      <c r="E225" s="54">
        <v>-0.06</v>
      </c>
      <c r="F225" s="54">
        <v>-0.04</v>
      </c>
      <c r="G225" s="54">
        <v>0.02</v>
      </c>
      <c r="H225" s="54">
        <v>5.2999999999999999E-2</v>
      </c>
      <c r="I225" s="54">
        <v>7.0000000000000007E-2</v>
      </c>
    </row>
    <row r="226" spans="3:15" x14ac:dyDescent="0.25">
      <c r="C226" s="122" t="s">
        <v>117</v>
      </c>
      <c r="D226" s="54">
        <v>0.5</v>
      </c>
      <c r="E226" s="17">
        <f t="dataTable" ref="E226:I229" dt2D="1" dtr="1" r1="G35" r2="G36" ca="1"/>
        <v>109942.33117489998</v>
      </c>
      <c r="F226" s="17">
        <v>112287.27356160001</v>
      </c>
      <c r="G226" s="17">
        <v>119322.10072170002</v>
      </c>
      <c r="H226" s="17">
        <v>123191.255659755</v>
      </c>
      <c r="I226" s="17">
        <v>125184.45668844999</v>
      </c>
    </row>
    <row r="227" spans="3:15" x14ac:dyDescent="0.25">
      <c r="C227" s="122"/>
      <c r="D227" s="54">
        <v>0.48</v>
      </c>
      <c r="E227" s="17">
        <v>103362.49283609998</v>
      </c>
      <c r="F227" s="17">
        <v>105567.43866239997</v>
      </c>
      <c r="G227" s="17">
        <v>112182.2761413</v>
      </c>
      <c r="H227" s="17">
        <v>115820.43675469499</v>
      </c>
      <c r="I227" s="17">
        <v>117694.64070704998</v>
      </c>
    </row>
    <row r="228" spans="3:15" x14ac:dyDescent="0.25">
      <c r="C228" s="122"/>
      <c r="D228" s="54">
        <v>0.45400000000000001</v>
      </c>
      <c r="E228" s="17">
        <v>94808.702995659973</v>
      </c>
      <c r="F228" s="17">
        <v>96831.653293439987</v>
      </c>
      <c r="G228" s="17">
        <v>102900.50418677999</v>
      </c>
      <c r="H228" s="17">
        <v>106238.37217811699</v>
      </c>
      <c r="I228" s="17">
        <v>107957.87993122998</v>
      </c>
    </row>
    <row r="229" spans="3:15" x14ac:dyDescent="0.25">
      <c r="C229" s="122"/>
      <c r="D229" s="54">
        <v>0.42</v>
      </c>
      <c r="E229" s="17">
        <v>83622.977819699954</v>
      </c>
      <c r="F229" s="17">
        <v>85407.933964799988</v>
      </c>
      <c r="G229" s="17">
        <v>90762.802400099987</v>
      </c>
      <c r="H229" s="17">
        <v>93707.980039514965</v>
      </c>
      <c r="I229" s="17">
        <v>95225.192762849969</v>
      </c>
    </row>
    <row r="233" spans="3:15" x14ac:dyDescent="0.25">
      <c r="C233" s="51" t="s">
        <v>118</v>
      </c>
      <c r="D233" s="56"/>
      <c r="E233" s="56"/>
      <c r="F233" s="56"/>
      <c r="G233" s="56"/>
      <c r="H233" s="56"/>
      <c r="I233" s="57"/>
      <c r="J233" s="57"/>
      <c r="K233" s="57"/>
    </row>
    <row r="234" spans="3:15" ht="15.75" thickBot="1" x14ac:dyDescent="0.3"/>
    <row r="235" spans="3:15" ht="15.75" thickBot="1" x14ac:dyDescent="0.3">
      <c r="C235" t="s">
        <v>119</v>
      </c>
      <c r="D235" s="65" t="str">
        <f>D12</f>
        <v xml:space="preserve">    Base case</v>
      </c>
      <c r="F235" s="59" t="s">
        <v>127</v>
      </c>
      <c r="G235" s="58">
        <f t="shared" ref="G235:K236" si="81">G15</f>
        <v>2026</v>
      </c>
      <c r="H235" s="58">
        <f t="shared" si="81"/>
        <v>2027</v>
      </c>
      <c r="I235" s="58">
        <f t="shared" si="81"/>
        <v>2028</v>
      </c>
      <c r="J235" s="58">
        <f t="shared" si="81"/>
        <v>2029</v>
      </c>
      <c r="K235" s="58">
        <f t="shared" si="81"/>
        <v>2030</v>
      </c>
    </row>
    <row r="236" spans="3:15" x14ac:dyDescent="0.25">
      <c r="F236" s="60"/>
      <c r="G236" s="12">
        <f t="shared" si="81"/>
        <v>46295</v>
      </c>
      <c r="H236" s="12">
        <f t="shared" si="81"/>
        <v>46660</v>
      </c>
      <c r="I236" s="12">
        <f t="shared" si="81"/>
        <v>47026</v>
      </c>
      <c r="J236" s="12">
        <f t="shared" si="81"/>
        <v>47391</v>
      </c>
      <c r="K236" s="12">
        <f t="shared" si="81"/>
        <v>47756</v>
      </c>
    </row>
    <row r="237" spans="3:15" x14ac:dyDescent="0.25">
      <c r="C237" t="s">
        <v>120</v>
      </c>
      <c r="F237" s="69" t="str">
        <f t="shared" ref="F237:K240" ca="1" si="82">OFFSET(F$242,MATCH($D$12,$C$243:$C$245,0)+MATCH($C237,$C$242:$C$257,0)-1,0)</f>
        <v>NM</v>
      </c>
      <c r="G237" s="66">
        <f t="shared" ca="1" si="82"/>
        <v>5.2999999999999999E-2</v>
      </c>
      <c r="H237" s="66">
        <f t="shared" ca="1" si="82"/>
        <v>0.06</v>
      </c>
      <c r="I237" s="66">
        <f t="shared" ca="1" si="82"/>
        <v>6.2E-2</v>
      </c>
      <c r="J237" s="66">
        <f t="shared" ca="1" si="82"/>
        <v>6.5000000000000002E-2</v>
      </c>
      <c r="K237" s="66">
        <f t="shared" ca="1" si="82"/>
        <v>6.9000000000000006E-2</v>
      </c>
      <c r="O237" t="s">
        <v>200</v>
      </c>
    </row>
    <row r="238" spans="3:15" x14ac:dyDescent="0.25">
      <c r="C238" t="s">
        <v>121</v>
      </c>
      <c r="F238" s="70" t="str">
        <f t="shared" ca="1" si="82"/>
        <v>NM</v>
      </c>
      <c r="G238" s="66">
        <f t="shared" ca="1" si="82"/>
        <v>0.45400000000000001</v>
      </c>
      <c r="H238" s="66">
        <f t="shared" ca="1" si="82"/>
        <v>0.46500000000000002</v>
      </c>
      <c r="I238" s="66">
        <f t="shared" ca="1" si="82"/>
        <v>0.46200000000000002</v>
      </c>
      <c r="J238" s="66">
        <f t="shared" ca="1" si="82"/>
        <v>0.46200000000000002</v>
      </c>
      <c r="K238" s="66">
        <f t="shared" ca="1" si="82"/>
        <v>0.46200000000000002</v>
      </c>
    </row>
    <row r="239" spans="3:15" x14ac:dyDescent="0.25">
      <c r="C239" t="s">
        <v>122</v>
      </c>
      <c r="F239" s="70" t="str">
        <f t="shared" ca="1" si="82"/>
        <v>NM</v>
      </c>
      <c r="G239" s="66">
        <f t="shared" ca="1" si="82"/>
        <v>6.5000000000000002E-2</v>
      </c>
      <c r="H239" s="66">
        <f t="shared" ca="1" si="82"/>
        <v>6.5000000000000002E-2</v>
      </c>
      <c r="I239" s="66">
        <f t="shared" ca="1" si="82"/>
        <v>6.5000000000000002E-2</v>
      </c>
      <c r="J239" s="66">
        <f t="shared" ca="1" si="82"/>
        <v>6.5000000000000002E-2</v>
      </c>
      <c r="K239" s="66">
        <f t="shared" ca="1" si="82"/>
        <v>6.5000000000000002E-2</v>
      </c>
    </row>
    <row r="240" spans="3:15" x14ac:dyDescent="0.25">
      <c r="C240" t="s">
        <v>123</v>
      </c>
      <c r="F240" s="70" t="str">
        <f t="shared" ca="1" si="82"/>
        <v>NM</v>
      </c>
      <c r="G240" s="66">
        <f t="shared" ca="1" si="82"/>
        <v>0.1</v>
      </c>
      <c r="H240" s="66">
        <f t="shared" ca="1" si="82"/>
        <v>0.1</v>
      </c>
      <c r="I240" s="66">
        <f t="shared" ca="1" si="82"/>
        <v>0.1</v>
      </c>
      <c r="J240" s="66">
        <f t="shared" ca="1" si="82"/>
        <v>0.1</v>
      </c>
      <c r="K240" s="66">
        <f t="shared" ca="1" si="82"/>
        <v>0.1</v>
      </c>
    </row>
    <row r="241" spans="3:11" x14ac:dyDescent="0.25">
      <c r="F241" s="61"/>
    </row>
    <row r="242" spans="3:11" x14ac:dyDescent="0.25">
      <c r="C242" s="5" t="s">
        <v>120</v>
      </c>
      <c r="F242" s="61"/>
    </row>
    <row r="243" spans="3:11" x14ac:dyDescent="0.25">
      <c r="C243" t="s">
        <v>124</v>
      </c>
      <c r="F243" s="62">
        <v>2.5000000000000001E-2</v>
      </c>
      <c r="G243" s="64">
        <f>G244+$F$243</f>
        <v>7.8E-2</v>
      </c>
      <c r="H243" s="64">
        <f t="shared" ref="H243:K243" si="83">H244+$F$243</f>
        <v>8.4999999999999992E-2</v>
      </c>
      <c r="I243" s="64">
        <f t="shared" si="83"/>
        <v>8.6999999999999994E-2</v>
      </c>
      <c r="J243" s="64">
        <f t="shared" si="83"/>
        <v>0.09</v>
      </c>
      <c r="K243" s="64">
        <f t="shared" si="83"/>
        <v>9.4E-2</v>
      </c>
    </row>
    <row r="244" spans="3:11" x14ac:dyDescent="0.25">
      <c r="C244" t="s">
        <v>125</v>
      </c>
      <c r="F244" s="61" t="s">
        <v>129</v>
      </c>
      <c r="G244" s="41">
        <v>5.2999999999999999E-2</v>
      </c>
      <c r="H244" s="41">
        <v>0.06</v>
      </c>
      <c r="I244" s="41">
        <v>6.2E-2</v>
      </c>
      <c r="J244" s="41">
        <v>6.5000000000000002E-2</v>
      </c>
      <c r="K244" s="41">
        <v>6.9000000000000006E-2</v>
      </c>
    </row>
    <row r="245" spans="3:11" x14ac:dyDescent="0.25">
      <c r="C245" t="s">
        <v>126</v>
      </c>
      <c r="F245" s="62">
        <v>-2.5000000000000001E-2</v>
      </c>
      <c r="G245" s="64">
        <f>G244+$F$245</f>
        <v>2.7999999999999997E-2</v>
      </c>
      <c r="H245" s="64">
        <f t="shared" ref="H245:K245" si="84">H244+$F$245</f>
        <v>3.4999999999999996E-2</v>
      </c>
      <c r="I245" s="64">
        <f t="shared" si="84"/>
        <v>3.6999999999999998E-2</v>
      </c>
      <c r="J245" s="64">
        <f t="shared" si="84"/>
        <v>0.04</v>
      </c>
      <c r="K245" s="64">
        <f t="shared" si="84"/>
        <v>4.4000000000000004E-2</v>
      </c>
    </row>
    <row r="246" spans="3:11" x14ac:dyDescent="0.25">
      <c r="C246" s="5" t="s">
        <v>121</v>
      </c>
      <c r="F246" s="61"/>
    </row>
    <row r="247" spans="3:11" x14ac:dyDescent="0.25">
      <c r="C247" t="s">
        <v>124</v>
      </c>
      <c r="F247" s="62">
        <v>0.01</v>
      </c>
      <c r="G247" s="64">
        <f>G248+$F$247</f>
        <v>0.46400000000000002</v>
      </c>
      <c r="H247" s="64">
        <f t="shared" ref="H247:K247" si="85">H248+$F$247</f>
        <v>0.47500000000000003</v>
      </c>
      <c r="I247" s="64">
        <f t="shared" si="85"/>
        <v>0.47200000000000003</v>
      </c>
      <c r="J247" s="64">
        <f t="shared" si="85"/>
        <v>0.47200000000000003</v>
      </c>
      <c r="K247" s="64">
        <f t="shared" si="85"/>
        <v>0.47200000000000003</v>
      </c>
    </row>
    <row r="248" spans="3:11" x14ac:dyDescent="0.25">
      <c r="C248" t="s">
        <v>125</v>
      </c>
      <c r="F248" s="61" t="s">
        <v>129</v>
      </c>
      <c r="G248" s="42">
        <v>0.45400000000000001</v>
      </c>
      <c r="H248" s="42">
        <v>0.46500000000000002</v>
      </c>
      <c r="I248" s="42">
        <v>0.46200000000000002</v>
      </c>
      <c r="J248" s="42">
        <v>0.46200000000000002</v>
      </c>
      <c r="K248" s="42">
        <v>0.46200000000000002</v>
      </c>
    </row>
    <row r="249" spans="3:11" x14ac:dyDescent="0.25">
      <c r="C249" t="s">
        <v>126</v>
      </c>
      <c r="F249" s="62">
        <v>-0.01</v>
      </c>
      <c r="G249" s="64">
        <f>G248+$F$249</f>
        <v>0.44400000000000001</v>
      </c>
      <c r="H249" s="64">
        <f t="shared" ref="H249:K249" si="86">H248+$F$249</f>
        <v>0.45500000000000002</v>
      </c>
      <c r="I249" s="64">
        <f t="shared" si="86"/>
        <v>0.45200000000000001</v>
      </c>
      <c r="J249" s="64">
        <f t="shared" si="86"/>
        <v>0.45200000000000001</v>
      </c>
      <c r="K249" s="64">
        <f t="shared" si="86"/>
        <v>0.45200000000000001</v>
      </c>
    </row>
    <row r="250" spans="3:11" x14ac:dyDescent="0.25">
      <c r="C250" s="5" t="s">
        <v>122</v>
      </c>
      <c r="F250" s="61"/>
    </row>
    <row r="251" spans="3:11" x14ac:dyDescent="0.25">
      <c r="C251" t="s">
        <v>124</v>
      </c>
      <c r="F251" s="62">
        <v>-0.01</v>
      </c>
      <c r="G251" s="64">
        <f>G252+$F$251</f>
        <v>5.5E-2</v>
      </c>
      <c r="H251" s="64">
        <f t="shared" ref="H251:K251" si="87">H252+$F$251</f>
        <v>5.5E-2</v>
      </c>
      <c r="I251" s="64">
        <f t="shared" si="87"/>
        <v>5.5E-2</v>
      </c>
      <c r="J251" s="64">
        <f t="shared" si="87"/>
        <v>5.5E-2</v>
      </c>
      <c r="K251" s="64">
        <f t="shared" si="87"/>
        <v>5.5E-2</v>
      </c>
    </row>
    <row r="252" spans="3:11" x14ac:dyDescent="0.25">
      <c r="C252" t="s">
        <v>125</v>
      </c>
      <c r="F252" s="61" t="s">
        <v>129</v>
      </c>
      <c r="G252" s="64">
        <v>6.5000000000000002E-2</v>
      </c>
      <c r="H252" s="64">
        <v>6.5000000000000002E-2</v>
      </c>
      <c r="I252" s="64">
        <v>6.5000000000000002E-2</v>
      </c>
      <c r="J252" s="64">
        <v>6.5000000000000002E-2</v>
      </c>
      <c r="K252" s="64">
        <v>6.5000000000000002E-2</v>
      </c>
    </row>
    <row r="253" spans="3:11" x14ac:dyDescent="0.25">
      <c r="C253" t="s">
        <v>126</v>
      </c>
      <c r="F253" s="62">
        <v>0.01</v>
      </c>
      <c r="G253" s="64">
        <f>G252+$F$253</f>
        <v>7.4999999999999997E-2</v>
      </c>
      <c r="H253" s="64">
        <f t="shared" ref="H253:K253" si="88">H252+$F$253</f>
        <v>7.4999999999999997E-2</v>
      </c>
      <c r="I253" s="64">
        <f t="shared" si="88"/>
        <v>7.4999999999999997E-2</v>
      </c>
      <c r="J253" s="64">
        <f t="shared" si="88"/>
        <v>7.4999999999999997E-2</v>
      </c>
      <c r="K253" s="64">
        <f t="shared" si="88"/>
        <v>7.4999999999999997E-2</v>
      </c>
    </row>
    <row r="254" spans="3:11" x14ac:dyDescent="0.25">
      <c r="C254" s="5" t="s">
        <v>123</v>
      </c>
      <c r="F254" s="61"/>
    </row>
    <row r="255" spans="3:11" x14ac:dyDescent="0.25">
      <c r="C255" t="s">
        <v>124</v>
      </c>
      <c r="F255" s="62">
        <v>-0.01</v>
      </c>
      <c r="G255" s="64">
        <f>G256+$F$255</f>
        <v>9.0000000000000011E-2</v>
      </c>
      <c r="H255" s="64">
        <f t="shared" ref="H255:K255" si="89">H256+$F$255</f>
        <v>9.0000000000000011E-2</v>
      </c>
      <c r="I255" s="64">
        <f t="shared" si="89"/>
        <v>9.0000000000000011E-2</v>
      </c>
      <c r="J255" s="64">
        <f t="shared" si="89"/>
        <v>9.0000000000000011E-2</v>
      </c>
      <c r="K255" s="64">
        <f t="shared" si="89"/>
        <v>9.0000000000000011E-2</v>
      </c>
    </row>
    <row r="256" spans="3:11" x14ac:dyDescent="0.25">
      <c r="C256" t="s">
        <v>125</v>
      </c>
      <c r="F256" s="61" t="s">
        <v>129</v>
      </c>
      <c r="G256" s="64">
        <v>0.1</v>
      </c>
      <c r="H256" s="64">
        <v>0.1</v>
      </c>
      <c r="I256" s="64">
        <v>0.1</v>
      </c>
      <c r="J256" s="64">
        <v>0.1</v>
      </c>
      <c r="K256" s="64">
        <v>0.1</v>
      </c>
    </row>
    <row r="257" spans="3:22" ht="15.75" thickBot="1" x14ac:dyDescent="0.3">
      <c r="C257" t="s">
        <v>126</v>
      </c>
      <c r="F257" s="63">
        <v>0.01</v>
      </c>
      <c r="G257" s="64">
        <f>G256+$F$257</f>
        <v>0.11</v>
      </c>
      <c r="H257" s="64">
        <f t="shared" ref="H257:K257" si="90">H256+$F$257</f>
        <v>0.11</v>
      </c>
      <c r="I257" s="64">
        <f t="shared" si="90"/>
        <v>0.11</v>
      </c>
      <c r="J257" s="64">
        <f t="shared" si="90"/>
        <v>0.11</v>
      </c>
      <c r="K257" s="64">
        <f t="shared" si="90"/>
        <v>0.11</v>
      </c>
    </row>
    <row r="259" spans="3:22" x14ac:dyDescent="0.25">
      <c r="C259" s="5" t="s">
        <v>130</v>
      </c>
    </row>
    <row r="260" spans="3:22" x14ac:dyDescent="0.25">
      <c r="C260" s="9" t="s">
        <v>11</v>
      </c>
      <c r="D260" s="10">
        <f>E260-1</f>
        <v>2023</v>
      </c>
      <c r="E260" s="10">
        <f>F260-1</f>
        <v>2024</v>
      </c>
      <c r="F260" s="10">
        <f>F15</f>
        <v>2025</v>
      </c>
      <c r="G260" s="23">
        <f>F260+1</f>
        <v>2026</v>
      </c>
      <c r="H260" s="23">
        <f>G260+1</f>
        <v>2027</v>
      </c>
      <c r="I260" s="23">
        <f>H260+1</f>
        <v>2028</v>
      </c>
      <c r="J260" s="23">
        <f>I260+1</f>
        <v>2029</v>
      </c>
      <c r="K260" s="23">
        <f>J260+1</f>
        <v>2030</v>
      </c>
    </row>
    <row r="261" spans="3:22" x14ac:dyDescent="0.25">
      <c r="C261" s="11" t="s">
        <v>12</v>
      </c>
      <c r="D261" s="12">
        <f>EOMONTH(E261,-12)</f>
        <v>45199</v>
      </c>
      <c r="E261" s="12">
        <f>EOMONTH(F261,-12)</f>
        <v>45565</v>
      </c>
      <c r="F261" s="12">
        <f>F16</f>
        <v>45927</v>
      </c>
      <c r="G261" s="12">
        <f>EOMONTH(F261,12)</f>
        <v>46295</v>
      </c>
      <c r="H261" s="12">
        <f>EOMONTH(G261,12)</f>
        <v>46660</v>
      </c>
      <c r="I261" s="12">
        <f>EOMONTH(H261,12)</f>
        <v>47026</v>
      </c>
      <c r="J261" s="12">
        <f>EOMONTH(I261,12)</f>
        <v>47391</v>
      </c>
      <c r="K261" s="12">
        <f>EOMONTH(J261,12)</f>
        <v>47756</v>
      </c>
    </row>
    <row r="263" spans="3:22" x14ac:dyDescent="0.25">
      <c r="C263" t="s">
        <v>62</v>
      </c>
      <c r="D263" s="17">
        <f t="shared" ref="D263:K263" si="91">D27</f>
        <v>96995</v>
      </c>
      <c r="E263" s="17">
        <f t="shared" si="91"/>
        <v>93198</v>
      </c>
      <c r="F263" s="17">
        <f t="shared" si="91"/>
        <v>112010</v>
      </c>
      <c r="G263" s="17">
        <f t="shared" ca="1" si="91"/>
        <v>106238.37217811699</v>
      </c>
      <c r="H263" s="17">
        <f t="shared" ca="1" si="91"/>
        <v>116787.02741496004</v>
      </c>
      <c r="I263" s="17">
        <f t="shared" ca="1" si="91"/>
        <v>122947.59112839152</v>
      </c>
      <c r="J263" s="17">
        <f t="shared" ca="1" si="91"/>
        <v>130801.01652087879</v>
      </c>
      <c r="K263" s="17">
        <f t="shared" ca="1" si="91"/>
        <v>139844.89182081944</v>
      </c>
    </row>
    <row r="264" spans="3:22" x14ac:dyDescent="0.25">
      <c r="C264" t="s">
        <v>142</v>
      </c>
      <c r="D264" s="15">
        <v>15744.231</v>
      </c>
      <c r="E264" s="15">
        <v>15343.782999999999</v>
      </c>
      <c r="F264" s="15">
        <v>14948.5</v>
      </c>
      <c r="G264" s="17">
        <f ca="1">F264+(-G270+G271)/G272</f>
        <v>14620.086276614011</v>
      </c>
      <c r="H264" s="17">
        <f t="shared" ref="H264:K264" ca="1" si="92">G264+(-H270+H271)/H272</f>
        <v>14337.542616720915</v>
      </c>
      <c r="I264" s="17">
        <f t="shared" ca="1" si="92"/>
        <v>14094.741767835007</v>
      </c>
      <c r="J264" s="17">
        <f t="shared" ca="1" si="92"/>
        <v>13886.407897824296</v>
      </c>
      <c r="K264" s="17">
        <f t="shared" ca="1" si="92"/>
        <v>13707.997974819296</v>
      </c>
    </row>
    <row r="265" spans="3:22" x14ac:dyDescent="0.25">
      <c r="C265" s="5" t="s">
        <v>131</v>
      </c>
      <c r="D265" s="74">
        <f>D263/D264</f>
        <v>6.1606692635543778</v>
      </c>
      <c r="E265" s="74">
        <f t="shared" ref="E265:F265" si="93">E263/E264</f>
        <v>6.0739910099093555</v>
      </c>
      <c r="F265" s="74">
        <f t="shared" si="93"/>
        <v>7.4930595042980901</v>
      </c>
      <c r="G265" s="74">
        <f t="shared" ref="G265" ca="1" si="94">G263/G264</f>
        <v>7.2666036415977722</v>
      </c>
      <c r="H265" s="74">
        <f t="shared" ref="H265" ca="1" si="95">H263/H264</f>
        <v>8.1455400368790638</v>
      </c>
      <c r="I265" s="74">
        <f t="shared" ref="I265" ca="1" si="96">I263/I264</f>
        <v>8.7229403101917651</v>
      </c>
      <c r="J265" s="74">
        <f t="shared" ref="J265" ca="1" si="97">J263/J264</f>
        <v>9.4193557818053524</v>
      </c>
      <c r="K265" s="74">
        <f t="shared" ref="K265" ca="1" si="98">K263/K264</f>
        <v>10.201700647877644</v>
      </c>
      <c r="V265" s="72"/>
    </row>
    <row r="267" spans="3:22" x14ac:dyDescent="0.25">
      <c r="C267" t="s">
        <v>132</v>
      </c>
      <c r="D267" s="14">
        <v>15812.547</v>
      </c>
      <c r="E267" s="14">
        <v>15408.094999999999</v>
      </c>
      <c r="F267" s="14">
        <v>15004.697</v>
      </c>
      <c r="G267" s="13">
        <f ca="1">G264+(F267-F264)</f>
        <v>14676.283276614011</v>
      </c>
      <c r="H267" s="13">
        <f t="shared" ref="H267:K267" ca="1" si="99">H264+(G267-G264)</f>
        <v>14393.739616720915</v>
      </c>
      <c r="I267" s="13">
        <f t="shared" ca="1" si="99"/>
        <v>14150.938767835007</v>
      </c>
      <c r="J267" s="13">
        <f t="shared" ca="1" si="99"/>
        <v>13942.604897824296</v>
      </c>
      <c r="K267" s="13">
        <f t="shared" ca="1" si="99"/>
        <v>13764.194974819296</v>
      </c>
    </row>
    <row r="268" spans="3:22" x14ac:dyDescent="0.25">
      <c r="C268" s="5" t="s">
        <v>133</v>
      </c>
      <c r="D268" s="74">
        <f>D263/D267</f>
        <v>6.1340529138031972</v>
      </c>
      <c r="E268" s="74">
        <f t="shared" ref="E268:F268" si="100">E263/E267</f>
        <v>6.0486387188033301</v>
      </c>
      <c r="F268" s="74">
        <f t="shared" si="100"/>
        <v>7.4649957943169394</v>
      </c>
      <c r="G268" s="74">
        <f t="shared" ref="G268" ca="1" si="101">G263/G267</f>
        <v>7.2387790679540096</v>
      </c>
      <c r="H268" s="74">
        <f t="shared" ref="H268" ca="1" si="102">H263/H267</f>
        <v>8.1137376751828221</v>
      </c>
      <c r="I268" s="74">
        <f t="shared" ref="I268" ca="1" si="103">I263/I267</f>
        <v>8.6882992814477156</v>
      </c>
      <c r="J268" s="74">
        <f t="shared" ref="J268" ca="1" si="104">J263/J267</f>
        <v>9.381390169156262</v>
      </c>
      <c r="K268" s="74">
        <f t="shared" ref="K268" ca="1" si="105">K263/K267</f>
        <v>10.160048740711433</v>
      </c>
    </row>
    <row r="270" spans="3:22" x14ac:dyDescent="0.25">
      <c r="C270" t="s">
        <v>134</v>
      </c>
      <c r="G270" s="17">
        <f>-G86</f>
        <v>90052</v>
      </c>
      <c r="H270" s="17">
        <f>-H86</f>
        <v>90052</v>
      </c>
      <c r="I270" s="17">
        <f>-I86</f>
        <v>90052</v>
      </c>
      <c r="J270" s="17">
        <f>-J86</f>
        <v>90052</v>
      </c>
      <c r="K270" s="17">
        <f>-K86</f>
        <v>90052</v>
      </c>
    </row>
    <row r="271" spans="3:22" x14ac:dyDescent="0.25">
      <c r="C271" t="s">
        <v>135</v>
      </c>
      <c r="G271" s="17">
        <f ca="1">G31</f>
        <v>13544.739</v>
      </c>
      <c r="H271" s="17">
        <f ca="1">H31</f>
        <v>14357.423339999999</v>
      </c>
      <c r="I271" s="17">
        <f ca="1">I31</f>
        <v>15247.58358708</v>
      </c>
      <c r="J271" s="17">
        <f ca="1">J31</f>
        <v>16238.676520240198</v>
      </c>
      <c r="K271" s="17">
        <f ca="1">K31</f>
        <v>17359.145200136772</v>
      </c>
    </row>
    <row r="272" spans="3:22" x14ac:dyDescent="0.25">
      <c r="C272" t="s">
        <v>136</v>
      </c>
      <c r="G272" s="77">
        <v>232.96</v>
      </c>
      <c r="H272" s="71">
        <f>G272*(1+H273)</f>
        <v>267.904</v>
      </c>
      <c r="I272" s="71">
        <f t="shared" ref="I272:K272" si="106">H272*(1+I273)</f>
        <v>308.08959999999996</v>
      </c>
      <c r="J272" s="71">
        <f t="shared" si="106"/>
        <v>354.30303999999995</v>
      </c>
      <c r="K272" s="71">
        <f t="shared" si="106"/>
        <v>407.44849599999992</v>
      </c>
    </row>
    <row r="273" spans="3:11" x14ac:dyDescent="0.25">
      <c r="C273" t="s">
        <v>137</v>
      </c>
      <c r="H273" s="78">
        <v>0.15</v>
      </c>
      <c r="I273" s="78">
        <v>0.15</v>
      </c>
      <c r="J273" s="78">
        <v>0.15</v>
      </c>
      <c r="K273" s="78">
        <v>0.15</v>
      </c>
    </row>
    <row r="275" spans="3:11" x14ac:dyDescent="0.25">
      <c r="C275" s="5" t="s">
        <v>138</v>
      </c>
      <c r="G275" s="75">
        <v>14776.35</v>
      </c>
      <c r="H275" s="76">
        <f ca="1">G277</f>
        <v>14447.936276614011</v>
      </c>
      <c r="I275" s="76">
        <f t="shared" ref="I275:K275" ca="1" si="107">H277</f>
        <v>14165.392616720916</v>
      </c>
      <c r="J275" s="76">
        <f t="shared" ca="1" si="107"/>
        <v>13922.591767835007</v>
      </c>
      <c r="K275" s="76">
        <f t="shared" ca="1" si="107"/>
        <v>13714.257897824296</v>
      </c>
    </row>
    <row r="276" spans="3:11" x14ac:dyDescent="0.25">
      <c r="C276" t="s">
        <v>139</v>
      </c>
      <c r="G276" s="73">
        <f ca="1">(-G270+G271)/G272</f>
        <v>-328.41372338598899</v>
      </c>
      <c r="H276" s="73">
        <f t="shared" ref="H276:K276" ca="1" si="108">(-H270+H271)/H272</f>
        <v>-282.54365989309605</v>
      </c>
      <c r="I276" s="73">
        <f t="shared" ca="1" si="108"/>
        <v>-242.80084888590852</v>
      </c>
      <c r="J276" s="73">
        <f t="shared" ca="1" si="108"/>
        <v>-208.33387001071119</v>
      </c>
      <c r="K276" s="73">
        <f t="shared" ca="1" si="108"/>
        <v>-178.40992300500048</v>
      </c>
    </row>
    <row r="277" spans="3:11" x14ac:dyDescent="0.25">
      <c r="C277" t="s">
        <v>140</v>
      </c>
      <c r="G277" s="73">
        <f ca="1">SUM(G275:G276)</f>
        <v>14447.936276614011</v>
      </c>
      <c r="H277" s="73">
        <f ca="1">H275+H276</f>
        <v>14165.392616720916</v>
      </c>
      <c r="I277" s="73">
        <f t="shared" ref="I277:K277" ca="1" si="109">SUM(I275:I276)</f>
        <v>13922.591767835007</v>
      </c>
      <c r="J277" s="73">
        <f t="shared" ca="1" si="109"/>
        <v>13714.257897824296</v>
      </c>
      <c r="K277" s="73">
        <f t="shared" ca="1" si="109"/>
        <v>13535.847974819297</v>
      </c>
    </row>
    <row r="278" spans="3:11" x14ac:dyDescent="0.25">
      <c r="C278" s="5" t="s">
        <v>141</v>
      </c>
      <c r="G278" s="76">
        <f ca="1">AVERAGE(G277,G275)</f>
        <v>14612.143138307005</v>
      </c>
      <c r="H278" s="76">
        <f t="shared" ref="H278:K278" ca="1" si="110">AVERAGE(H277,H275)</f>
        <v>14306.664446667462</v>
      </c>
      <c r="I278" s="76">
        <f t="shared" ca="1" si="110"/>
        <v>14043.992192277961</v>
      </c>
      <c r="J278" s="76">
        <f t="shared" ca="1" si="110"/>
        <v>13818.424832829653</v>
      </c>
      <c r="K278" s="76">
        <f t="shared" ca="1" si="110"/>
        <v>13625.052936321797</v>
      </c>
    </row>
    <row r="293" spans="3:11" x14ac:dyDescent="0.25">
      <c r="C293" t="s">
        <v>106</v>
      </c>
      <c r="D293" s="17">
        <f t="shared" ref="D293:K293" si="111">-(D21+D22)*0.5</f>
        <v>27423.5</v>
      </c>
      <c r="E293" s="17">
        <f t="shared" si="111"/>
        <v>28733.5</v>
      </c>
      <c r="F293" s="17">
        <f t="shared" si="111"/>
        <v>31075.5</v>
      </c>
      <c r="G293" s="17">
        <f t="shared" ca="1" si="111"/>
        <v>36152.9464725</v>
      </c>
      <c r="H293" s="17">
        <f t="shared" ca="1" si="111"/>
        <v>38322.123260850007</v>
      </c>
      <c r="I293" s="17">
        <f t="shared" ca="1" si="111"/>
        <v>40698.094903022706</v>
      </c>
      <c r="J293" s="17">
        <f t="shared" ca="1" si="111"/>
        <v>43343.471071719185</v>
      </c>
      <c r="K293" s="17">
        <f t="shared" ca="1" si="111"/>
        <v>46334.170575667813</v>
      </c>
    </row>
    <row r="295" spans="3:11" x14ac:dyDescent="0.25">
      <c r="C295" s="5" t="s">
        <v>52</v>
      </c>
    </row>
    <row r="296" spans="3:11" x14ac:dyDescent="0.25">
      <c r="C296" t="s">
        <v>53</v>
      </c>
      <c r="D296" s="15">
        <v>10959</v>
      </c>
      <c r="E296" s="15">
        <v>9447</v>
      </c>
      <c r="F296" s="15">
        <v>12715</v>
      </c>
    </row>
    <row r="297" spans="3:11" x14ac:dyDescent="0.25">
      <c r="C297" t="s">
        <v>54</v>
      </c>
      <c r="D297" s="15">
        <v>-8500</v>
      </c>
      <c r="E297" s="15">
        <v>-8200</v>
      </c>
      <c r="F297" s="15">
        <v>-8000</v>
      </c>
    </row>
    <row r="298" spans="3:11" x14ac:dyDescent="0.25">
      <c r="C298" t="s">
        <v>55</v>
      </c>
      <c r="D298" s="15">
        <v>-14996</v>
      </c>
      <c r="E298" s="15">
        <v>-15218</v>
      </c>
      <c r="F298" s="15">
        <v>-15413</v>
      </c>
    </row>
    <row r="299" spans="3:11" x14ac:dyDescent="0.25">
      <c r="C299" t="s">
        <v>56</v>
      </c>
      <c r="D299" s="15">
        <v>-77046</v>
      </c>
      <c r="E299" s="15">
        <v>-95846</v>
      </c>
      <c r="F299" s="15">
        <v>-90052</v>
      </c>
    </row>
    <row r="300" spans="3:11" x14ac:dyDescent="0.25">
      <c r="C300" t="s">
        <v>57</v>
      </c>
      <c r="E300" s="22">
        <v>0.05</v>
      </c>
      <c r="F300" s="22">
        <v>4.19E-2</v>
      </c>
    </row>
    <row r="301" spans="3:11" x14ac:dyDescent="0.25">
      <c r="C301" t="s">
        <v>58</v>
      </c>
      <c r="E301" s="22">
        <v>4.1799999999999997E-2</v>
      </c>
      <c r="F301" s="22">
        <v>4.1700000000000001E-2</v>
      </c>
    </row>
    <row r="514" spans="24:24" x14ac:dyDescent="0.25">
      <c r="X514">
        <v>0</v>
      </c>
    </row>
    <row r="515" spans="24:24" x14ac:dyDescent="0.25">
      <c r="X515">
        <v>1</v>
      </c>
    </row>
  </sheetData>
  <mergeCells count="8">
    <mergeCell ref="G34:K34"/>
    <mergeCell ref="N200:O218"/>
    <mergeCell ref="E224:I224"/>
    <mergeCell ref="C226:C229"/>
    <mergeCell ref="D96:F96"/>
    <mergeCell ref="G96:K96"/>
    <mergeCell ref="D108:F108"/>
    <mergeCell ref="G108:K108"/>
  </mergeCells>
  <dataValidations disablePrompts="1" count="4">
    <dataValidation type="list" allowBlank="1" showInputMessage="1" showErrorMessage="1" sqref="D7" xr:uid="{2F2A28AF-AD2D-4CAD-952E-A766F727060F}">
      <formula1>$X$514:$X$515</formula1>
    </dataValidation>
    <dataValidation type="list" allowBlank="1" showInputMessage="1" showErrorMessage="1" sqref="D12" xr:uid="{7513E827-32F6-4264-8563-2993DE3552EF}">
      <formula1>$C$243:$C$245</formula1>
    </dataValidation>
    <dataValidation type="list" allowBlank="1" showInputMessage="1" showErrorMessage="1" sqref="E103 E115" xr:uid="{758F2228-1027-4ACF-9CD0-71180CAE05C9}">
      <formula1>$W$99:$W$100</formula1>
    </dataValidation>
    <dataValidation type="list" allowBlank="1" showInputMessage="1" showErrorMessage="1" sqref="D153" xr:uid="{33D90F04-5370-4BFC-B1EB-1B35FB9D1B09}">
      <formula1>$W$101:$W$102</formula1>
    </dataValidation>
  </dataValidations>
  <pageMargins left="0.7" right="0.7" top="0.75" bottom="0.75" header="0.3" footer="0.3"/>
  <pageSetup paperSize="9" orientation="portrait" r:id="rId1"/>
  <ignoredErrors>
    <ignoredError sqref="G26:K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78CC-5AFB-4914-809B-00F2F8F193CA}">
  <dimension ref="A2:M41"/>
  <sheetViews>
    <sheetView workbookViewId="0">
      <selection activeCell="M3" sqref="M3:M4"/>
    </sheetView>
  </sheetViews>
  <sheetFormatPr defaultRowHeight="15" x14ac:dyDescent="0.25"/>
  <cols>
    <col min="1" max="2" width="1.85546875" customWidth="1"/>
    <col min="3" max="3" width="36.7109375" customWidth="1"/>
    <col min="4" max="11" width="12.5703125" customWidth="1"/>
    <col min="12" max="12" width="3.28515625" customWidth="1"/>
  </cols>
  <sheetData>
    <row r="2" spans="1:13" x14ac:dyDescent="0.25">
      <c r="A2" s="80"/>
      <c r="C2" s="51" t="s">
        <v>143</v>
      </c>
      <c r="D2" s="56"/>
      <c r="E2" s="56"/>
      <c r="F2" s="56"/>
      <c r="G2" s="56"/>
      <c r="H2" s="56"/>
      <c r="I2" s="56"/>
      <c r="J2" s="56"/>
      <c r="K2" s="56"/>
    </row>
    <row r="3" spans="1:13" x14ac:dyDescent="0.25">
      <c r="C3" t="s">
        <v>144</v>
      </c>
      <c r="D3" s="81">
        <v>2023</v>
      </c>
      <c r="E3" s="81">
        <f>D3+1</f>
        <v>2024</v>
      </c>
      <c r="F3" s="81">
        <f t="shared" ref="F3:K3" si="0">E3+1</f>
        <v>2025</v>
      </c>
      <c r="G3" s="82">
        <f t="shared" si="0"/>
        <v>2026</v>
      </c>
      <c r="H3" s="82">
        <f t="shared" si="0"/>
        <v>2027</v>
      </c>
      <c r="I3" s="82">
        <f t="shared" si="0"/>
        <v>2028</v>
      </c>
      <c r="J3" s="82">
        <f t="shared" si="0"/>
        <v>2029</v>
      </c>
      <c r="K3" s="82">
        <f t="shared" si="0"/>
        <v>2030</v>
      </c>
      <c r="M3" s="89" t="s">
        <v>159</v>
      </c>
    </row>
    <row r="4" spans="1:13" x14ac:dyDescent="0.25">
      <c r="C4" s="2" t="s">
        <v>12</v>
      </c>
      <c r="D4" s="83">
        <f>EOMONTH(E4,-12)</f>
        <v>45199</v>
      </c>
      <c r="E4" s="83">
        <f>EOMONTH(F4,-12)</f>
        <v>45565</v>
      </c>
      <c r="F4" s="83">
        <v>45927</v>
      </c>
      <c r="G4" s="83">
        <f>EOMONTH(F4,12)</f>
        <v>46295</v>
      </c>
      <c r="H4" s="83">
        <f t="shared" ref="H4:K4" si="1">EOMONTH(G4,12)</f>
        <v>46660</v>
      </c>
      <c r="I4" s="83">
        <f t="shared" si="1"/>
        <v>47026</v>
      </c>
      <c r="J4" s="83">
        <f t="shared" si="1"/>
        <v>47391</v>
      </c>
      <c r="K4" s="83">
        <f t="shared" si="1"/>
        <v>47756</v>
      </c>
      <c r="M4" s="90" t="s">
        <v>160</v>
      </c>
    </row>
    <row r="5" spans="1:13" x14ac:dyDescent="0.25">
      <c r="C5" s="84" t="s">
        <v>145</v>
      </c>
      <c r="D5" s="9"/>
      <c r="E5" s="9"/>
      <c r="F5" s="9"/>
      <c r="G5" s="9"/>
      <c r="H5" s="9"/>
      <c r="I5" s="9"/>
      <c r="J5" s="9"/>
      <c r="K5" s="9"/>
    </row>
    <row r="6" spans="1:13" x14ac:dyDescent="0.25">
      <c r="C6" s="19" t="s">
        <v>146</v>
      </c>
    </row>
    <row r="7" spans="1:13" x14ac:dyDescent="0.25">
      <c r="C7" t="s">
        <v>147</v>
      </c>
      <c r="D7" s="14">
        <v>200583</v>
      </c>
      <c r="E7" s="14">
        <v>201183</v>
      </c>
      <c r="F7" s="14">
        <v>209586</v>
      </c>
    </row>
    <row r="8" spans="1:13" x14ac:dyDescent="0.25">
      <c r="C8" t="s">
        <v>148</v>
      </c>
      <c r="D8" s="14">
        <v>28300</v>
      </c>
      <c r="E8" s="14">
        <v>26694</v>
      </c>
      <c r="F8" s="14">
        <v>28023</v>
      </c>
    </row>
    <row r="9" spans="1:13" x14ac:dyDescent="0.25">
      <c r="C9" t="s">
        <v>149</v>
      </c>
      <c r="D9" s="14">
        <v>29357</v>
      </c>
      <c r="E9" s="14">
        <v>29984</v>
      </c>
      <c r="F9" s="14">
        <v>33708</v>
      </c>
    </row>
    <row r="11" spans="1:13" x14ac:dyDescent="0.25">
      <c r="C11" t="s">
        <v>150</v>
      </c>
      <c r="D11" s="14">
        <v>39845</v>
      </c>
      <c r="E11" s="14">
        <v>37005</v>
      </c>
      <c r="F11" s="14">
        <v>35686</v>
      </c>
      <c r="G11" s="88"/>
      <c r="H11" s="88"/>
      <c r="I11" s="88"/>
      <c r="J11" s="88"/>
      <c r="K11" s="88"/>
      <c r="L11" s="64"/>
      <c r="M11" s="80"/>
    </row>
    <row r="12" spans="1:13" x14ac:dyDescent="0.25">
      <c r="C12" t="s">
        <v>151</v>
      </c>
      <c r="D12" s="14">
        <v>85200</v>
      </c>
      <c r="E12" s="14">
        <v>96169</v>
      </c>
      <c r="F12" s="14">
        <v>109158</v>
      </c>
      <c r="G12" s="88"/>
      <c r="H12" s="88"/>
      <c r="I12" s="88"/>
      <c r="J12" s="88"/>
      <c r="K12" s="88"/>
      <c r="L12" s="20"/>
      <c r="M12" s="20"/>
    </row>
    <row r="13" spans="1:13" x14ac:dyDescent="0.25">
      <c r="C13" s="5" t="s">
        <v>152</v>
      </c>
      <c r="D13" s="85">
        <f>SUM(D7:D12)</f>
        <v>383285</v>
      </c>
      <c r="E13" s="85">
        <f t="shared" ref="E13:F13" si="2">SUM(E7:E12)</f>
        <v>391035</v>
      </c>
      <c r="F13" s="85">
        <f t="shared" si="2"/>
        <v>416161</v>
      </c>
      <c r="L13" s="64"/>
    </row>
    <row r="14" spans="1:13" x14ac:dyDescent="0.25">
      <c r="C14" s="79" t="s">
        <v>153</v>
      </c>
      <c r="E14" s="20">
        <f>E13/D13-1</f>
        <v>2.021994077514111E-2</v>
      </c>
      <c r="F14" s="20">
        <f>F13/E13-1</f>
        <v>6.425511782832749E-2</v>
      </c>
    </row>
    <row r="16" spans="1:13" x14ac:dyDescent="0.25">
      <c r="C16" s="5" t="s">
        <v>154</v>
      </c>
    </row>
    <row r="17" spans="3:11" x14ac:dyDescent="0.25">
      <c r="C17" t="s">
        <v>147</v>
      </c>
      <c r="D17" s="14">
        <v>231000</v>
      </c>
      <c r="E17" s="14">
        <v>240000</v>
      </c>
      <c r="F17" s="14">
        <v>248000</v>
      </c>
      <c r="G17" s="14">
        <v>240000</v>
      </c>
      <c r="H17" s="14">
        <v>250000</v>
      </c>
      <c r="I17" s="14">
        <v>250000</v>
      </c>
      <c r="J17" s="14">
        <v>250000</v>
      </c>
      <c r="K17" s="14">
        <v>250000</v>
      </c>
    </row>
    <row r="18" spans="3:11" x14ac:dyDescent="0.25">
      <c r="C18" t="s">
        <v>148</v>
      </c>
      <c r="D18" s="14">
        <v>49000</v>
      </c>
      <c r="E18" s="14">
        <v>50000</v>
      </c>
      <c r="F18" s="14">
        <v>55000</v>
      </c>
      <c r="G18" s="13">
        <v>45000</v>
      </c>
      <c r="H18" s="13">
        <v>60000</v>
      </c>
      <c r="I18" s="13">
        <v>60000</v>
      </c>
      <c r="J18" s="13">
        <v>60000</v>
      </c>
      <c r="K18" s="13">
        <v>60000</v>
      </c>
    </row>
    <row r="19" spans="3:11" x14ac:dyDescent="0.25">
      <c r="C19" t="s">
        <v>149</v>
      </c>
      <c r="D19" s="14">
        <v>22000</v>
      </c>
      <c r="E19" s="14">
        <v>23000</v>
      </c>
      <c r="F19" s="14">
        <v>25000</v>
      </c>
      <c r="G19" s="13">
        <v>24000</v>
      </c>
      <c r="H19" s="13">
        <v>25000</v>
      </c>
      <c r="I19" s="13">
        <v>25000</v>
      </c>
      <c r="J19" s="13">
        <v>25000</v>
      </c>
      <c r="K19" s="13">
        <v>25000</v>
      </c>
    </row>
    <row r="21" spans="3:11" x14ac:dyDescent="0.25">
      <c r="C21" s="5" t="s">
        <v>155</v>
      </c>
    </row>
    <row r="22" spans="3:11" x14ac:dyDescent="0.25">
      <c r="C22" t="s">
        <v>147</v>
      </c>
      <c r="D22" s="86">
        <f t="shared" ref="D22:E22" si="3">1000*D7/D17</f>
        <v>868.32467532467535</v>
      </c>
      <c r="E22" s="86">
        <f t="shared" si="3"/>
        <v>838.26250000000005</v>
      </c>
      <c r="F22" s="86">
        <f>1000*F7/F17</f>
        <v>845.10483870967744</v>
      </c>
      <c r="G22" s="86">
        <v>1000</v>
      </c>
      <c r="H22" s="86">
        <v>1050</v>
      </c>
      <c r="I22" s="86">
        <v>1050</v>
      </c>
      <c r="J22" s="86">
        <v>1050</v>
      </c>
      <c r="K22" s="86">
        <v>1050</v>
      </c>
    </row>
    <row r="23" spans="3:11" x14ac:dyDescent="0.25">
      <c r="C23" t="s">
        <v>148</v>
      </c>
      <c r="D23" s="86">
        <f t="shared" ref="D23:F23" si="4">1000*D8/D18</f>
        <v>577.55102040816325</v>
      </c>
      <c r="E23" s="86">
        <f t="shared" si="4"/>
        <v>533.88</v>
      </c>
      <c r="F23" s="86">
        <f t="shared" si="4"/>
        <v>509.5090909090909</v>
      </c>
      <c r="G23" s="86">
        <v>600</v>
      </c>
      <c r="H23" s="86">
        <v>630</v>
      </c>
      <c r="I23" s="86">
        <v>630</v>
      </c>
      <c r="J23" s="86">
        <v>630</v>
      </c>
      <c r="K23" s="86">
        <v>630</v>
      </c>
    </row>
    <row r="24" spans="3:11" x14ac:dyDescent="0.25">
      <c r="C24" t="s">
        <v>149</v>
      </c>
      <c r="D24" s="86">
        <f t="shared" ref="D24:F24" si="5">1000*D9/D19</f>
        <v>1334.409090909091</v>
      </c>
      <c r="E24" s="86">
        <f t="shared" si="5"/>
        <v>1303.6521739130435</v>
      </c>
      <c r="F24" s="86">
        <f t="shared" si="5"/>
        <v>1348.32</v>
      </c>
      <c r="G24" s="86">
        <v>1800</v>
      </c>
      <c r="H24" s="86">
        <v>1850</v>
      </c>
      <c r="I24" s="86">
        <v>1850</v>
      </c>
      <c r="J24" s="86">
        <v>1850</v>
      </c>
      <c r="K24" s="86">
        <v>1850</v>
      </c>
    </row>
    <row r="26" spans="3:11" x14ac:dyDescent="0.25">
      <c r="C26" s="5" t="s">
        <v>156</v>
      </c>
    </row>
    <row r="27" spans="3:11" x14ac:dyDescent="0.25">
      <c r="C27" t="s">
        <v>147</v>
      </c>
      <c r="E27" s="20">
        <f>E17/D17-1</f>
        <v>3.8961038961038863E-2</v>
      </c>
      <c r="F27" s="20">
        <f>F17/E17-1</f>
        <v>3.3333333333333437E-2</v>
      </c>
    </row>
    <row r="28" spans="3:11" x14ac:dyDescent="0.25">
      <c r="C28" t="s">
        <v>148</v>
      </c>
      <c r="E28" s="20">
        <f t="shared" ref="E28:F28" si="6">E18/D18-1</f>
        <v>2.0408163265306145E-2</v>
      </c>
      <c r="F28" s="20">
        <f t="shared" si="6"/>
        <v>0.10000000000000009</v>
      </c>
    </row>
    <row r="29" spans="3:11" x14ac:dyDescent="0.25">
      <c r="C29" t="s">
        <v>149</v>
      </c>
      <c r="E29" s="20">
        <f t="shared" ref="E29:F29" si="7">E19/D19-1</f>
        <v>4.5454545454545414E-2</v>
      </c>
      <c r="F29" s="20">
        <f t="shared" si="7"/>
        <v>8.6956521739130377E-2</v>
      </c>
    </row>
    <row r="31" spans="3:11" x14ac:dyDescent="0.25">
      <c r="C31" s="5" t="s">
        <v>157</v>
      </c>
    </row>
    <row r="32" spans="3:11" x14ac:dyDescent="0.25">
      <c r="C32" t="s">
        <v>147</v>
      </c>
      <c r="E32" s="87">
        <f t="shared" ref="E32:F32" si="8">E22/D22-1</f>
        <v>-3.4620892598076547E-2</v>
      </c>
      <c r="F32" s="87">
        <f t="shared" si="8"/>
        <v>8.1625251155543754E-3</v>
      </c>
    </row>
    <row r="33" spans="3:6" x14ac:dyDescent="0.25">
      <c r="C33" t="s">
        <v>148</v>
      </c>
      <c r="E33" s="87">
        <f t="shared" ref="E33:F33" si="9">E23/D23-1</f>
        <v>-7.5614134275618361E-2</v>
      </c>
      <c r="F33" s="87">
        <f t="shared" si="9"/>
        <v>-4.5648664664173721E-2</v>
      </c>
    </row>
    <row r="34" spans="3:6" x14ac:dyDescent="0.25">
      <c r="C34" t="s">
        <v>149</v>
      </c>
      <c r="E34" s="87">
        <f t="shared" ref="E34:F34" si="10">E24/D24-1</f>
        <v>-2.3049091321083348E-2</v>
      </c>
      <c r="F34" s="87">
        <f t="shared" si="10"/>
        <v>3.4263607257203788E-2</v>
      </c>
    </row>
    <row r="36" spans="3:6" x14ac:dyDescent="0.25">
      <c r="C36" s="5" t="s">
        <v>158</v>
      </c>
    </row>
    <row r="37" spans="3:6" x14ac:dyDescent="0.25">
      <c r="C37" t="s">
        <v>147</v>
      </c>
      <c r="E37" s="87">
        <f t="shared" ref="E37" si="11">E7/D7-1</f>
        <v>2.9912804175826757E-3</v>
      </c>
      <c r="F37" s="87">
        <f>F7/E7-1</f>
        <v>4.1767942619406195E-2</v>
      </c>
    </row>
    <row r="38" spans="3:6" x14ac:dyDescent="0.25">
      <c r="C38" t="s">
        <v>148</v>
      </c>
      <c r="E38" s="87">
        <f t="shared" ref="E38:F38" si="12">E8/D8-1</f>
        <v>-5.674911660777382E-2</v>
      </c>
      <c r="F38" s="87">
        <f t="shared" si="12"/>
        <v>4.9786468869408962E-2</v>
      </c>
    </row>
    <row r="39" spans="3:6" x14ac:dyDescent="0.25">
      <c r="C39" t="s">
        <v>149</v>
      </c>
      <c r="E39" s="87">
        <f t="shared" ref="E39:F39" si="13">E9/D9-1</f>
        <v>2.1357768164322E-2</v>
      </c>
      <c r="F39" s="87">
        <f t="shared" si="13"/>
        <v>0.12419957310565644</v>
      </c>
    </row>
    <row r="40" spans="3:6" x14ac:dyDescent="0.25">
      <c r="C40" t="s">
        <v>150</v>
      </c>
      <c r="E40" s="87">
        <f t="shared" ref="E40" si="14">E11/D11-1</f>
        <v>-7.1276195256619435E-2</v>
      </c>
      <c r="F40" s="87">
        <f>F11/E11-1</f>
        <v>-3.5643831914606183E-2</v>
      </c>
    </row>
    <row r="41" spans="3:6" x14ac:dyDescent="0.25">
      <c r="C41" t="s">
        <v>151</v>
      </c>
      <c r="E41" s="87">
        <f t="shared" ref="E41:F41" si="15">E12/D12-1</f>
        <v>0.12874413145539898</v>
      </c>
      <c r="F41" s="87">
        <f t="shared" si="15"/>
        <v>0.13506431386413498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 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Manoj Kumar</cp:lastModifiedBy>
  <cp:lastPrinted>2025-12-19T19:20:40Z</cp:lastPrinted>
  <dcterms:created xsi:type="dcterms:W3CDTF">2025-12-17T16:37:10Z</dcterms:created>
  <dcterms:modified xsi:type="dcterms:W3CDTF">2026-02-08T17:57:35Z</dcterms:modified>
</cp:coreProperties>
</file>